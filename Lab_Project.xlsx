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GBZ\Desktop\Datenanalyse\Excel\Final_Project\"/>
    </mc:Choice>
  </mc:AlternateContent>
  <xr:revisionPtr revIDLastSave="0" documentId="13_ncr:1_{61E0EF0C-207E-4598-B9C9-F8C768F52A66}" xr6:coauthVersionLast="47" xr6:coauthVersionMax="47" xr10:uidLastSave="{00000000-0000-0000-0000-000000000000}"/>
  <bookViews>
    <workbookView xWindow="-110" yWindow="-110" windowWidth="19420" windowHeight="11500" tabRatio="823" xr2:uid="{3975CDA9-8411-48A6-A299-26D360CD3EC7}"/>
  </bookViews>
  <sheets>
    <sheet name="Overview" sheetId="27" r:id="rId1"/>
    <sheet name="Sample" sheetId="10" r:id="rId2"/>
    <sheet name="Main measures" sheetId="17" r:id="rId3"/>
    <sheet name="Charts" sheetId="18" r:id="rId4"/>
    <sheet name="Patient results" sheetId="2" r:id="rId5"/>
    <sheet name="Patient Checker" sheetId="28" r:id="rId6"/>
    <sheet name="dim_reference_intervals" sheetId="5" r:id="rId7"/>
    <sheet name="dim_patients" sheetId="4" r:id="rId8"/>
    <sheet name="Cholesterol" sheetId="11" state="hidden" r:id="rId9"/>
  </sheets>
  <definedNames>
    <definedName name="ExternalData_1" localSheetId="4" hidden="1">'Patient results'!$A$1:$D$365</definedName>
    <definedName name="ExternalData_3" localSheetId="7" hidden="1">dim_patients!$A$1:$N$29</definedName>
    <definedName name="ExternalData_4" localSheetId="6" hidden="1">dim_reference_intervals!$A$1:$G$14</definedName>
    <definedName name="_xlnm.Print_Area" localSheetId="3">Charts!$F$3:$T$33</definedName>
    <definedName name="_xlnm.Print_Area" localSheetId="0">Overview!$A$1:$B$7</definedName>
    <definedName name="_xlnm.Print_Area" localSheetId="5">'Patient Checker'!$A$1:$F$16</definedName>
    <definedName name="Slicer_Age_Group">#N/A</definedName>
    <definedName name="Slicer_Age_Group1">#N/A</definedName>
    <definedName name="Slicer_Gender">#N/A</definedName>
    <definedName name="Slicer_Gender1">#N/A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s>
  <extLst>
    <ext xmlns:x14="http://schemas.microsoft.com/office/spreadsheetml/2009/9/main" uri="{876F7934-8845-4945-9796-88D515C7AA90}">
      <x14:pivotCaches>
        <pivotCache cacheId="14" r:id="rId24"/>
        <pivotCache cacheId="15"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lab_results_507594ee-8403-4b6e-b2e8-5ebd65d88b83" name="fact_lab_results" connection="Query - fact_lab_results"/>
          <x15:modelTable id="dim_patients_7245a4c6-84eb-400d-9cd6-e8d6579d40c4" name="dim_patients" connection="Query - dim_patients"/>
          <x15:modelTable id="dim_reference_intervals_bd25dc20-bb20-441f-aaf1-fbeb976bc532" name="dim_reference_intervals" connection="Query - dim_reference_intervals"/>
        </x15:modelTables>
        <x15:modelRelationships>
          <x15:modelRelationship fromTable="fact_lab_results" fromColumn="Patient_ID" toTable="dim_patients" toColumn="Patient_ID"/>
          <x15:modelRelationship fromTable="fact_lab_results" fromColumn="Metric" toTable="dim_reference_intervals" toColumn="Metric"/>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5" i="28" l="1"/>
  <c r="F6" i="28"/>
  <c r="F7" i="28"/>
  <c r="F8" i="28"/>
  <c r="F9" i="28"/>
  <c r="F10" i="28"/>
  <c r="F11" i="28"/>
  <c r="F12" i="28"/>
  <c r="F13" i="28"/>
  <c r="F14" i="28"/>
  <c r="F15" i="28"/>
  <c r="F16" i="28"/>
  <c r="F4" i="28"/>
  <c r="E5" i="28"/>
  <c r="E6" i="28"/>
  <c r="E7" i="28"/>
  <c r="E8" i="28"/>
  <c r="E9" i="28"/>
  <c r="E10" i="28"/>
  <c r="E11" i="28"/>
  <c r="E12" i="28"/>
  <c r="E13" i="28"/>
  <c r="E14" i="28"/>
  <c r="E15" i="28"/>
  <c r="E16" i="28"/>
  <c r="D5" i="28"/>
  <c r="D6" i="28"/>
  <c r="D7" i="28"/>
  <c r="D8" i="28"/>
  <c r="D9" i="28"/>
  <c r="D10" i="28"/>
  <c r="D11" i="28"/>
  <c r="D12" i="28"/>
  <c r="D13" i="28"/>
  <c r="D14" i="28"/>
  <c r="D15" i="28"/>
  <c r="D16" i="28"/>
  <c r="B5" i="28"/>
  <c r="B6" i="28"/>
  <c r="B7" i="28"/>
  <c r="B8" i="28"/>
  <c r="B9" i="28"/>
  <c r="B10" i="28"/>
  <c r="B11" i="28"/>
  <c r="B12" i="28"/>
  <c r="B13" i="28"/>
  <c r="B14" i="28"/>
  <c r="B15" i="28"/>
  <c r="B16" i="28"/>
  <c r="A5" i="28"/>
  <c r="A6" i="28"/>
  <c r="A7" i="28"/>
  <c r="A8" i="28"/>
  <c r="A9" i="28"/>
  <c r="A10" i="28"/>
  <c r="A11" i="28"/>
  <c r="A12" i="28"/>
  <c r="A13" i="28"/>
  <c r="A14" i="28"/>
  <c r="A15" i="28"/>
  <c r="A16" i="28"/>
  <c r="E4" i="28"/>
  <c r="D4" i="28"/>
  <c r="B4" i="28"/>
  <c r="A4" i="2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C6D58E-EC8E-499F-960F-4DF4041FD311}" keepAlive="1" name="ModelConnection_ExternalData_1" description="Data Model" type="5" refreshedVersion="8" minRefreshableVersion="5" saveData="1">
    <dbPr connection="Data Model Connection" command="fact_lab_results" commandType="3"/>
    <extLst>
      <ext xmlns:x15="http://schemas.microsoft.com/office/spreadsheetml/2010/11/main" uri="{DE250136-89BD-433C-8126-D09CA5730AF9}">
        <x15:connection id="" model="1"/>
      </ext>
    </extLst>
  </connection>
  <connection id="2" xr16:uid="{46B5A598-6A22-44F6-884C-5A20C7CDC224}" keepAlive="1" name="ModelConnection_ExternalData_3" description="Data Model" type="5" refreshedVersion="8" minRefreshableVersion="5" saveData="1">
    <dbPr connection="Data Model Connection" command="dim_patients" commandType="3"/>
    <extLst>
      <ext xmlns:x15="http://schemas.microsoft.com/office/spreadsheetml/2010/11/main" uri="{DE250136-89BD-433C-8126-D09CA5730AF9}">
        <x15:connection id="" model="1"/>
      </ext>
    </extLst>
  </connection>
  <connection id="3" xr16:uid="{7A833D28-9E41-4D02-A199-8DAD00298DDD}" keepAlive="1" name="ModelConnection_ExternalData_4" description="Data Model" type="5" refreshedVersion="8" minRefreshableVersion="5" saveData="1">
    <dbPr connection="Data Model Connection" command="dim_reference_intervals" commandType="3"/>
    <extLst>
      <ext xmlns:x15="http://schemas.microsoft.com/office/spreadsheetml/2010/11/main" uri="{DE250136-89BD-433C-8126-D09CA5730AF9}">
        <x15:connection id="" model="1"/>
      </ext>
    </extLst>
  </connection>
  <connection id="4" xr16:uid="{9DF6A5CF-170B-4A5E-B34C-2C624D9BB997}" keepAlive="1" name="Query - audit_duplicate_results" description="Connection to the 'audit_duplicate_results' query in the workbook." type="5" refreshedVersion="8" background="1" saveData="1">
    <dbPr connection="Provider=Microsoft.Mashup.OleDb.1;Data Source=$Workbook$;Location=audit_duplicate_results;Extended Properties=&quot;&quot;" command="SELECT * FROM [audit_duplicate_results]"/>
  </connection>
  <connection id="5" xr16:uid="{28751B6B-BFCA-4F22-89E7-AB30F366CF8E}" keepAlive="1" name="Query - audit_metrics_per_patient" description="Connection to the 'audit_metrics_per_patient' query in the workbook." type="5" refreshedVersion="8" background="1" saveData="1">
    <dbPr connection="Provider=Microsoft.Mashup.OleDb.1;Data Source=$Workbook$;Location=audit_metrics_per_patient;Extended Properties=&quot;&quot;" command="SELECT * FROM [audit_metrics_per_patient]"/>
  </connection>
  <connection id="6" xr16:uid="{5A41B7F1-9E61-4DED-9792-A13BDF410AEE}" name="Query - dim_patients" description="Connection to the 'dim_patients' query in the workbook." type="100" refreshedVersion="8" minRefreshableVersion="5">
    <extLst>
      <ext xmlns:x15="http://schemas.microsoft.com/office/spreadsheetml/2010/11/main" uri="{DE250136-89BD-433C-8126-D09CA5730AF9}">
        <x15:connection id="54976e64-568a-464f-a6c8-8cc5301bfb2c"/>
      </ext>
    </extLst>
  </connection>
  <connection id="7" xr16:uid="{28CBFCAD-BA47-4E28-8DCD-8459E1F11AAD}" name="Query - dim_reference_intervals" description="Connection to the 'dim_reference_intervals' query in the workbook." type="100" refreshedVersion="8" minRefreshableVersion="5">
    <extLst>
      <ext xmlns:x15="http://schemas.microsoft.com/office/spreadsheetml/2010/11/main" uri="{DE250136-89BD-433C-8126-D09CA5730AF9}">
        <x15:connection id="903f0f1d-a3ec-457f-8605-fdadfa507669"/>
      </ext>
    </extLst>
  </connection>
  <connection id="8" xr16:uid="{9C161787-F763-4E70-A71A-B4C85F8E1017}" name="Query - fact_lab_results" description="Connection to the 'fact_lab_results' query in the workbook." type="100" refreshedVersion="8" minRefreshableVersion="5">
    <extLst>
      <ext xmlns:x15="http://schemas.microsoft.com/office/spreadsheetml/2010/11/main" uri="{DE250136-89BD-433C-8126-D09CA5730AF9}">
        <x15:connection id="9f8af7a8-80c1-43a0-b8c0-2cfd4254f97f"/>
      </ext>
    </extLst>
  </connection>
  <connection id="9" xr16:uid="{A871693E-3319-4228-8B58-D94151B46EB8}" keepAlive="1" name="Query - notable_cases" description="Connection to the 'notable_cases' query in the workbook." type="5" refreshedVersion="0" background="1">
    <dbPr connection="Provider=Microsoft.Mashup.OleDb.1;Data Source=$Workbook$;Location=notable_cases;Extended Properties=&quot;&quot;" command="SELECT * FROM [notable_cases]"/>
  </connection>
  <connection id="10" xr16:uid="{8695F9F6-DCFF-4CAB-9AF9-856FAC9FDC6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<sst xmlns="http://schemas.openxmlformats.org/spreadsheetml/2006/main" count="1622" uniqueCount="289">
  <si>
    <t>Patient_ID</t>
  </si>
  <si>
    <t>Metric</t>
  </si>
  <si>
    <t>Value</t>
  </si>
  <si>
    <t>P001</t>
  </si>
  <si>
    <t>WBC</t>
  </si>
  <si>
    <t>RBC</t>
  </si>
  <si>
    <t>Hemoglobin</t>
  </si>
  <si>
    <t>Hematocrit</t>
  </si>
  <si>
    <t>Platelets</t>
  </si>
  <si>
    <t>Glucose</t>
  </si>
  <si>
    <t>Creatinine</t>
  </si>
  <si>
    <t>ALT</t>
  </si>
  <si>
    <t>AST</t>
  </si>
  <si>
    <t>Total_Cholesterol</t>
  </si>
  <si>
    <t>LDL</t>
  </si>
  <si>
    <t>HDL</t>
  </si>
  <si>
    <t>Triglycerides</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</si>
  <si>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</si>
  <si>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</si>
  <si>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</si>
  <si>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</si>
  <si>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</si>
  <si>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</si>
  <si>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</si>
  <si>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</si>
  <si>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</si>
  <si>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</si>
  <si>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</si>
  <si>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</si>
  <si>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</si>
  <si>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</si>
  <si>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</si>
  <si>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</si>
  <si>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</si>
  <si>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</si>
  <si>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</si>
  <si>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</si>
  <si>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</si>
  <si>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</si>
  <si>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</si>
  <si>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</si>
  <si>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</si>
  <si>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</si>
  <si>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</si>
  <si>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Age</t>
  </si>
  <si>
    <t>Gender</t>
  </si>
  <si>
    <t>M</t>
  </si>
  <si>
    <t>F</t>
  </si>
  <si>
    <t>First_Name</t>
  </si>
  <si>
    <t>Last_Name</t>
  </si>
  <si>
    <t>City</t>
  </si>
  <si>
    <t>Address</t>
  </si>
  <si>
    <t>Postal_Code</t>
  </si>
  <si>
    <t>Phone</t>
  </si>
  <si>
    <t>Email</t>
  </si>
  <si>
    <t>Anna</t>
  </si>
  <si>
    <t>Müller</t>
  </si>
  <si>
    <t>Kassel</t>
  </si>
  <si>
    <t>Wilhelmshöher Allee 12</t>
  </si>
  <si>
    <t>0561-123456</t>
  </si>
  <si>
    <t>anna.mueller@email.de</t>
  </si>
  <si>
    <t>Thomas</t>
  </si>
  <si>
    <t>Becker</t>
  </si>
  <si>
    <t>Fuldaer Straße 88</t>
  </si>
  <si>
    <t>0561-234567</t>
  </si>
  <si>
    <t>t.becker@web.de</t>
  </si>
  <si>
    <t>Sara</t>
  </si>
  <si>
    <t>Klein</t>
  </si>
  <si>
    <t>Baunatal</t>
  </si>
  <si>
    <t>Hauptstraße 5</t>
  </si>
  <si>
    <t>0561-345678</t>
  </si>
  <si>
    <t>sara.klein@gmail.com</t>
  </si>
  <si>
    <t>Markus</t>
  </si>
  <si>
    <t>Wolf</t>
  </si>
  <si>
    <t>Holländische Straße 200</t>
  </si>
  <si>
    <t>0561-456789</t>
  </si>
  <si>
    <t>m.wolf@email.de</t>
  </si>
  <si>
    <t>Laura</t>
  </si>
  <si>
    <t>Schmidt</t>
  </si>
  <si>
    <t>Querallee 3</t>
  </si>
  <si>
    <t>0561-567890</t>
  </si>
  <si>
    <t>l.schmidt@web.de</t>
  </si>
  <si>
    <t>Hans</t>
  </si>
  <si>
    <t>Zimmermann</t>
  </si>
  <si>
    <t>Hessisch Lichtenau</t>
  </si>
  <si>
    <t>Marktplatz 1</t>
  </si>
  <si>
    <t>05602-12345</t>
  </si>
  <si>
    <t>h.zimm@email.de</t>
  </si>
  <si>
    <t>Julia</t>
  </si>
  <si>
    <t>Fischer</t>
  </si>
  <si>
    <t>Friedrich-Ebert-Straße 44</t>
  </si>
  <si>
    <t>0561-678901</t>
  </si>
  <si>
    <t>julia.f@gmail.com</t>
  </si>
  <si>
    <t>Peter</t>
  </si>
  <si>
    <t>Lange</t>
  </si>
  <si>
    <t>Niestetal</t>
  </si>
  <si>
    <t>Am Berg 7</t>
  </si>
  <si>
    <t>0561-789012</t>
  </si>
  <si>
    <t>p.lange@web.de</t>
  </si>
  <si>
    <t>Maria</t>
  </si>
  <si>
    <t>Schulz</t>
  </si>
  <si>
    <t>Goethestraße 21</t>
  </si>
  <si>
    <t>0561-890123</t>
  </si>
  <si>
    <t>m.schulz@email.de</t>
  </si>
  <si>
    <t>Klaus</t>
  </si>
  <si>
    <t>Wagner</t>
  </si>
  <si>
    <t>Fuldabrück</t>
  </si>
  <si>
    <t>Dorfstraße 14</t>
  </si>
  <si>
    <t>0561-901234</t>
  </si>
  <si>
    <t>k.wagner@web.de</t>
  </si>
  <si>
    <t>Nina</t>
  </si>
  <si>
    <t>Braun</t>
  </si>
  <si>
    <t>Druseltalstraße 8</t>
  </si>
  <si>
    <t>0561-112233</t>
  </si>
  <si>
    <t>nina.braun@gmail.com</t>
  </si>
  <si>
    <t>Stefan</t>
  </si>
  <si>
    <t>Meyer</t>
  </si>
  <si>
    <t>Lohfelden</t>
  </si>
  <si>
    <t>Kirchweg 3</t>
  </si>
  <si>
    <t>0561-223344</t>
  </si>
  <si>
    <t>s.meyer@email.de</t>
  </si>
  <si>
    <t>Ursula</t>
  </si>
  <si>
    <t>Hoffmann</t>
  </si>
  <si>
    <t>Fünffensterstraße 2</t>
  </si>
  <si>
    <t>0561-334455</t>
  </si>
  <si>
    <t>u.hoffmann@web.de</t>
  </si>
  <si>
    <t>Andreas</t>
  </si>
  <si>
    <t>Richter</t>
  </si>
  <si>
    <t>Obere Königsstraße 15</t>
  </si>
  <si>
    <t>0561-445566</t>
  </si>
  <si>
    <t>a.richter@email.de</t>
  </si>
  <si>
    <t>Sabine</t>
  </si>
  <si>
    <t>Koch</t>
  </si>
  <si>
    <t>Vellmar</t>
  </si>
  <si>
    <t>Am Stadtpark 9</t>
  </si>
  <si>
    <t>0561-556677</t>
  </si>
  <si>
    <t>s.koch@gmail.com</t>
  </si>
  <si>
    <t>Frank</t>
  </si>
  <si>
    <t>Neumann</t>
  </si>
  <si>
    <t>Frankfurter Straße 77</t>
  </si>
  <si>
    <t>0561-667788</t>
  </si>
  <si>
    <t>f.neumann@web.de</t>
  </si>
  <si>
    <t>Claudia</t>
  </si>
  <si>
    <t>Schwarz</t>
  </si>
  <si>
    <t>Motzstraße 4</t>
  </si>
  <si>
    <t>0561-778899</t>
  </si>
  <si>
    <t>c.schwarz@email.de</t>
  </si>
  <si>
    <t>Rainer</t>
  </si>
  <si>
    <t>Bauer</t>
  </si>
  <si>
    <t>Söhrewald</t>
  </si>
  <si>
    <t>Waldstraße 18</t>
  </si>
  <si>
    <t>05608-11223</t>
  </si>
  <si>
    <t>r.bauer@web.de</t>
  </si>
  <si>
    <t>Monika</t>
  </si>
  <si>
    <t>Krause</t>
  </si>
  <si>
    <t>Leipziger Straße 31</t>
  </si>
  <si>
    <t>0561-889900</t>
  </si>
  <si>
    <t>m.krause@gmail.com</t>
  </si>
  <si>
    <t>Dieter</t>
  </si>
  <si>
    <t>Werner</t>
  </si>
  <si>
    <t>Erzbergerstraße 56</t>
  </si>
  <si>
    <t>0561-990011</t>
  </si>
  <si>
    <t>d.werner@email.de</t>
  </si>
  <si>
    <t>Heike</t>
  </si>
  <si>
    <t>Herrmann</t>
  </si>
  <si>
    <t>Staufenberg</t>
  </si>
  <si>
    <t>Burgstraße 6</t>
  </si>
  <si>
    <t>05543-22334</t>
  </si>
  <si>
    <t>h.herrmann@web.de</t>
  </si>
  <si>
    <t>Jörg</t>
  </si>
  <si>
    <t>König</t>
  </si>
  <si>
    <t>Spohrstraße 11</t>
  </si>
  <si>
    <t>0561-001122</t>
  </si>
  <si>
    <t>j.koenig@email.de</t>
  </si>
  <si>
    <t>Petra</t>
  </si>
  <si>
    <t>Walter</t>
  </si>
  <si>
    <t>Kaufungen</t>
  </si>
  <si>
    <t>Am Markt 3</t>
  </si>
  <si>
    <t>05605-33445</t>
  </si>
  <si>
    <t>p.walter@gmail.com</t>
  </si>
  <si>
    <t>Bernd</t>
  </si>
  <si>
    <t>Schulte</t>
  </si>
  <si>
    <t>Wolfhager Straße 99</t>
  </si>
  <si>
    <t>0561-112234</t>
  </si>
  <si>
    <t>b.schulte@web.de</t>
  </si>
  <si>
    <t>Ingrid</t>
  </si>
  <si>
    <t>Möller</t>
  </si>
  <si>
    <t>Parkstraße 2</t>
  </si>
  <si>
    <t>0561-223345</t>
  </si>
  <si>
    <t>i.moeller@email.de</t>
  </si>
  <si>
    <t>Carsten</t>
  </si>
  <si>
    <t>Vogel</t>
  </si>
  <si>
    <t>Schillerstraße 14</t>
  </si>
  <si>
    <t>0561-334456</t>
  </si>
  <si>
    <t>c.vogel@gmail.com</t>
  </si>
  <si>
    <t>Renate</t>
  </si>
  <si>
    <t>Industriestraße 77</t>
  </si>
  <si>
    <t>0561-445567</t>
  </si>
  <si>
    <t>r.zimm@web.de</t>
  </si>
  <si>
    <t>Helmut</t>
  </si>
  <si>
    <t>Schäfer</t>
  </si>
  <si>
    <t>Bremer Straße 45</t>
  </si>
  <si>
    <t>0561-556678</t>
  </si>
  <si>
    <t>h.schaefer@email.de</t>
  </si>
  <si>
    <t>Unit</t>
  </si>
  <si>
    <t>Low_Threshold</t>
  </si>
  <si>
    <t>Normal_Min</t>
  </si>
  <si>
    <t>Normal_Max</t>
  </si>
  <si>
    <t>High_Threshold</t>
  </si>
  <si>
    <t>Description</t>
  </si>
  <si>
    <t>10³/µL</t>
  </si>
  <si>
    <t>White blood cells — measures immune system activity</t>
  </si>
  <si>
    <t>10⁶/µL</t>
  </si>
  <si>
    <t>Red blood cells — carries oxygen through the body</t>
  </si>
  <si>
    <t>g/dL</t>
  </si>
  <si>
    <t>Protein in RBC that binds oxygen — key anemia indicator</t>
  </si>
  <si>
    <t>%</t>
  </si>
  <si>
    <t>Percentage of blood volume made up of red blood cells</t>
  </si>
  <si>
    <t>Cell fragments that help blood clot after injury</t>
  </si>
  <si>
    <t>mg/dL</t>
  </si>
  <si>
    <t>Blood sugar level — main screening for diabetes</t>
  </si>
  <si>
    <t>Waste product filtered by kidneys — indicates kidney function</t>
  </si>
  <si>
    <t>U/L</t>
  </si>
  <si>
    <t>Liver enzyme — elevated levels suggest liver stress or damage</t>
  </si>
  <si>
    <t>Enzyme found in liver and heart — raised in liver or muscle damage</t>
  </si>
  <si>
    <t>Total fat-like substance in blood — cardiovascular risk marker</t>
  </si>
  <si>
    <t>Bad cholesterol — high levels increase heart disease risk</t>
  </si>
  <si>
    <t>Good cholesterol — low levels increase cardiovascular risk</t>
  </si>
  <si>
    <t>Fat in the blood from diet — high levels linked to heart disease</t>
  </si>
  <si>
    <t>Within range</t>
  </si>
  <si>
    <t>Not low</t>
  </si>
  <si>
    <t>High</t>
  </si>
  <si>
    <t>Low</t>
  </si>
  <si>
    <t>Result_Status</t>
  </si>
  <si>
    <t>Row Labels</t>
  </si>
  <si>
    <t>Grand Total</t>
  </si>
  <si>
    <t>High LDL Patients</t>
  </si>
  <si>
    <t>Patient Count</t>
  </si>
  <si>
    <t>Age_Decade_Start</t>
  </si>
  <si>
    <t>Age_Decade</t>
  </si>
  <si>
    <t>40–49</t>
  </si>
  <si>
    <t>60–69</t>
  </si>
  <si>
    <t>20–29</t>
  </si>
  <si>
    <t>50–59</t>
  </si>
  <si>
    <t>30–39</t>
  </si>
  <si>
    <t>70–79</t>
  </si>
  <si>
    <t>Age_Group</t>
  </si>
  <si>
    <t>50+</t>
  </si>
  <si>
    <t>Low Haemoglobin Patients</t>
  </si>
  <si>
    <t>Tested patients</t>
  </si>
  <si>
    <t>&lt;50</t>
  </si>
  <si>
    <t>Within-range LDL</t>
  </si>
  <si>
    <t>High LDL</t>
  </si>
  <si>
    <t>LDL_Group</t>
  </si>
  <si>
    <t>Patients with both tests</t>
  </si>
  <si>
    <t>Patients with Low HDL</t>
  </si>
  <si>
    <t>Low HDL Percentage</t>
  </si>
  <si>
    <t>High LDL Percentage</t>
  </si>
  <si>
    <t>Low Haemoglobin Percentage</t>
  </si>
  <si>
    <t>High ALT Patients</t>
  </si>
  <si>
    <t>High ALT %</t>
  </si>
  <si>
    <t>Tested Patients</t>
  </si>
  <si>
    <t>Column Labels</t>
  </si>
  <si>
    <t>Total High LDL Patients</t>
  </si>
  <si>
    <t>Total High LDL Percentage</t>
  </si>
  <si>
    <t>Total Patients with Low HDL</t>
  </si>
  <si>
    <t>Total Low HDL Percentage</t>
  </si>
  <si>
    <t>High LDL by gender and age group</t>
  </si>
  <si>
    <t>Low HDL %</t>
  </si>
  <si>
    <t>Section</t>
  </si>
  <si>
    <t>Purpose</t>
  </si>
  <si>
    <t>Sample</t>
  </si>
  <si>
    <t>How to use</t>
  </si>
  <si>
    <t>Limitations</t>
  </si>
  <si>
    <t>Values analysed</t>
  </si>
  <si>
    <t>Main observations</t>
  </si>
  <si>
    <t>Patient checker</t>
  </si>
  <si>
    <t>The “Patient Checker” sheet allows users to enter results for one patient and immediately compare them with the supplied reference intervals. Enter values in the highlighted input cells, using the units shown. Each result is labelled Low, Within range or High. For HDL, only Low or Not low is reported because its upper reference limit remains unresolved.
The checker is a demonstration tool for this project, not a diagnostic tool. Entered values do not update the study dataset, PivotTables or charts. Clear the input cells before checking another patient.</t>
  </si>
  <si>
    <t>The sheet "Sample" shows the calculations and distribution of the population sample for this study. "Main measures" contain 4 pivot tables addressing the 4 main questions of this project. Related to this "Charts"  provide the visuals for the first three questions. Both "Main measures" and "Charts"  have gender and age slicers which filter the connected tables and charts. Clear both to see the full sample. "Patient results" shows the main source of analysis and classifies each observation against supplied reference intervals on "dim_reference_intervals". "Patient Checker" allows to test the results of new patients and "dim_patients" show all the fictional patient demographic and contact details.</t>
  </si>
  <si>
    <t>Test</t>
  </si>
  <si>
    <t>Enter result</t>
  </si>
  <si>
    <t>Lower limit</t>
  </si>
  <si>
    <t>Upper limit</t>
  </si>
  <si>
    <t>Assessment</t>
  </si>
  <si>
    <t>Enter results only in the blue cells, using the units shown. Assessments use the supplied exercise reference intervals. HDL has no confirmed upper limit. This checker does not diagnose conditions or add patients to the study dataset. Clear the blue cells before checking another patient.</t>
  </si>
  <si>
    <r>
      <t xml:space="preserve">The population sample of this analysis is 28 patients who have been tested for 13 values. This amounts to  364 results for all. The age of participants ranges between 25 and 74, with a median age of 50. Given the size of the sample, the best possibility to obtain equally sized group was to split patiens into two  age groups </t>
    </r>
    <r>
      <rPr>
        <b/>
        <sz val="11"/>
        <color theme="1"/>
        <rFont val="Aptos Narrow"/>
        <family val="2"/>
        <scheme val="minor"/>
      </rPr>
      <t>&lt;50</t>
    </r>
    <r>
      <rPr>
        <sz val="11"/>
        <color theme="1"/>
        <rFont val="Aptos Narrow"/>
        <family val="2"/>
        <scheme val="minor"/>
      </rPr>
      <t xml:space="preserve"> and </t>
    </r>
    <r>
      <rPr>
        <b/>
        <sz val="11"/>
        <color theme="1"/>
        <rFont val="Aptos Narrow"/>
        <family val="2"/>
        <scheme val="minor"/>
      </rPr>
      <t>50+</t>
    </r>
    <r>
      <rPr>
        <sz val="11"/>
        <color theme="1"/>
        <rFont val="Aptos Narrow"/>
        <family val="2"/>
        <scheme val="minor"/>
      </rPr>
      <t>, with 14 patients each. Furthermore, there is an equal distribution of female and male patients, 14 for each.</t>
    </r>
  </si>
  <si>
    <t xml:space="preserve">This workbook analyses synthetic laboratory results for 28 fictional patients, supplied as part of a data-analysis course. It contains no real patient data. It tries to answer the following four questions: 1-How do LDL levels compare by gender and age, within this sample of patients in the study? Who is most frequently above 130 mg/dL?
2-How do low hemoglobin levels differ by gender and age, within this sample of patients in the study? Who are most often below 11 g/dL  (as a potential indicator of anemia)?
3-How do patients with ALT above 56 U/L compare with the remaining patients in age and gender composition?
4-Among patients with LDL (“bad cholesterol”) above 130 mg/dL, what proportion also have HDL (“good cholesterol”) below 40 mg/dL? How does this compare with patients whose LDL is within the supplied range? </t>
  </si>
  <si>
    <t>The sample size is very small, so results should be interpreted only as exploratory. The gender composition is unequal within age groups; there are more younger women than men; and conversely, more older men than women, which has also an effect on the results of measures which act as proxies for certain conditions. The supplied thresholds on dim_reference_intervals, have provided the basis for evaluating the results; however, the HDL upper limit is still unresolved.</t>
  </si>
  <si>
    <t>· High LDL: 42.9% of patients (12/28) had high LDL. The proportion was higher in the 50+ group (78.6%) than in the under-50 group (7.1%).
· Low haemoglobin: 17.9% of patients (5/28) had low haemoglobin. All five were women.
· High ALT: 14.3% of patients (4/28) had high ALT. All four were aged 50+.
· LDL–HDL: 58.3% of patients with high LDL (7/12) also had low HDL, compared with none of the 16 patients with within-range LDL. NB: These findings describe the synthetic course dataset and use the supplied exercise thresholds. They cannot be generalised to real patient populations.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</si>
</sst>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0.0\ %;0.0\ %"/>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left" indent="1"/>
    </xf>
    <xf numFmtId="164"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0" fillId="2" borderId="0" xfId="0" applyFill="1"/>
    <xf numFmtId="2" fontId="2" fillId="0" borderId="0" xfId="0" applyNumberFormat="1" applyFont="1" applyAlignment="1">
      <alignment horizontal="center" vertical="center" wrapText="1"/>
    </xf>
    <xf numFmtId="0" fontId="2" fillId="0" borderId="0" xfId="0" applyFont="1" applyAlignment="1">
      <alignment horizontal="left" vertical="center" wrapText="1"/>
    </xf>
    <xf numFmtId="0" fontId="0" fillId="0" borderId="0" xfId="0" applyAlignment="1">
      <alignment horizontal="center" wrapText="1"/>
    </xf>
  </cellXfs>
  <cellStyles count="1">
    <cellStyle name="Normal" xfId="0" builtinId="0"/>
  </cellStyles>
  <dxfs count="21">
    <dxf>
      <fill>
        <patternFill>
          <bgColor rgb="FFFFCCCC"/>
        </patternFill>
      </fill>
    </dxf>
    <dxf>
      <fill>
        <patternFill>
          <bgColor rgb="FFFFFF99"/>
        </patternFill>
      </fill>
    </dxf>
    <dxf>
      <font>
        <color theme="1"/>
      </font>
      <fill>
        <patternFill>
          <bgColor rgb="FFFFC7CE"/>
        </patternFill>
      </fill>
    </dxf>
    <dxf>
      <fill>
        <patternFill>
          <bgColor rgb="FFFFFF99"/>
        </patternFill>
      </fill>
    </dxf>
    <dxf>
      <fill>
        <patternFill>
          <bgColor rgb="FFFFCCCC"/>
        </patternFill>
      </fill>
    </dxf>
    <dxf>
      <fill>
        <patternFill>
          <bgColor rgb="FFFFFF99"/>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indexed="64"/>
          <bgColor theme="3" tint="0.89999084444715716"/>
        </patternFill>
      </fill>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dxf>
    <dxf>
      <numFmt numFmtId="0" formatCode="General"/>
    </dxf>
  </dxfs>
  <tableStyles count="0" defaultTableStyle="TableStyleMedium2" defaultPivotStyle="PivotStyleLight16"/>
  <colors>
    <mruColors>
      <color rgb="FFFFFF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12.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4.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1.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[Lab_Project.xlsx]Charts!PivotTable1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Patients with high LDL by gender and age</a:t>
            </a:r>
            <a:endParaRPr lang="de-DE"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10892388451442"/>
          <c:y val="0.17820610965296008"/>
          <c:w val="0.68302996500437441"/>
          <c:h val="0.65890128317293672"/>
        </c:manualLayout>
      </c:layout>
      <c:barChart>
        <c:barDir val="col"/>
        <c:grouping val="clustered"/>
        <c:varyColors val="0"/>
        <c:ser>
          <c:idx val="0"/>
          <c:order val="0"/>
          <c:tx>
            <c:strRef>
              <c:f>Charts!$B$3:$B$4</c:f>
              <c:strCache>
                <c:ptCount val="1"/>
                <c:pt idx="0">
                  <c:v>&lt;50</c:v>
                </c:pt>
              </c:strCache>
            </c:strRef>
          </c:tx>
          <c:spPr>
            <a:solidFill>
              <a:schemeClr val="accent1"/>
            </a:solidFill>
            <a:ln>
              <a:noFill/>
            </a:ln>
            <a:effectLst/>
          </c:spPr>
          <c:invertIfNegative val="0"/>
          <c:cat>
            <c:strRef>
              <c:f>Charts!$A$5:$A$7</c:f>
              <c:strCache>
                <c:ptCount val="2"/>
                <c:pt idx="0">
                  <c:v>F</c:v>
                </c:pt>
                <c:pt idx="1">
                  <c:v>M</c:v>
                </c:pt>
              </c:strCache>
            </c:strRef>
          </c:cat>
          <c:val>
            <c:numRef>
              <c:f>Charts!$B$5:$B$7</c:f>
              <c:numCache>
                <c:formatCode>0.0\ %;\-0.0\ %;0.0\ %</c:formatCode>
                <c:ptCount val="2"/>
                <c:pt idx="0">
                  <c:v>0</c:v>
                </c:pt>
                <c:pt idx="1">
                  <c:v>0.2</c:v>
                </c:pt>
              </c:numCache>
            </c:numRef>
          </c:val>
          <c:extLst>
            <c:ext xmlns:c16="http://schemas.microsoft.com/office/drawing/2014/chart" uri="{C3380CC4-5D6E-409C-BE32-E72D297353CC}">
              <c16:uniqueId val="{00000000-986B-4616-8829-78B5B4B329FC}"/>
            </c:ext>
          </c:extLst>
        </c:ser>
        <c:ser>
          <c:idx val="1"/>
          <c:order val="1"/>
          <c:tx>
            <c:strRef>
              <c:f>Charts!$C$3:$C$4</c:f>
              <c:strCache>
                <c:ptCount val="1"/>
                <c:pt idx="0">
                  <c:v>50+</c:v>
                </c:pt>
              </c:strCache>
            </c:strRef>
          </c:tx>
          <c:spPr>
            <a:solidFill>
              <a:schemeClr val="accent2"/>
            </a:solidFill>
            <a:ln>
              <a:noFill/>
            </a:ln>
            <a:effectLst/>
          </c:spPr>
          <c:invertIfNegative val="0"/>
          <c:cat>
            <c:strRef>
              <c:f>Charts!$A$5:$A$7</c:f>
              <c:strCache>
                <c:ptCount val="2"/>
                <c:pt idx="0">
                  <c:v>F</c:v>
                </c:pt>
                <c:pt idx="1">
                  <c:v>M</c:v>
                </c:pt>
              </c:strCache>
            </c:strRef>
          </c:cat>
          <c:val>
            <c:numRef>
              <c:f>Charts!$C$5:$C$7</c:f>
              <c:numCache>
                <c:formatCode>0.0\ %;\-0.0\ %;0.0\ %</c:formatCode>
                <c:ptCount val="2"/>
                <c:pt idx="0">
                  <c:v>0.8</c:v>
                </c:pt>
                <c:pt idx="1">
                  <c:v>0.77777777777777779</c:v>
                </c:pt>
              </c:numCache>
            </c:numRef>
          </c:val>
          <c:extLst>
            <c:ext xmlns:c16="http://schemas.microsoft.com/office/drawing/2014/chart" uri="{C3380CC4-5D6E-409C-BE32-E72D297353CC}">
              <c16:uniqueId val="{00000001-FC4C-4901-A8B3-0AF6AB122AAC}"/>
            </c:ext>
          </c:extLst>
        </c:ser>
        <c:dLbls>
          <c:showLegendKey val="0"/>
          <c:showVal val="0"/>
          <c:showCatName val="0"/>
          <c:showSerName val="0"/>
          <c:showPercent val="0"/>
          <c:showBubbleSize val="0"/>
        </c:dLbls>
        <c:gapWidth val="219"/>
        <c:overlap val="-27"/>
        <c:axId val="470809936"/>
        <c:axId val="556370160"/>
      </c:barChart>
      <c:catAx>
        <c:axId val="47080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6370160"/>
        <c:crosses val="autoZero"/>
        <c:auto val="1"/>
        <c:lblAlgn val="ctr"/>
        <c:lblOffset val="100"/>
        <c:noMultiLvlLbl val="0"/>
      </c:catAx>
      <c:valAx>
        <c:axId val="55637016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0.0\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080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[Lab_Project.xlsx]Charts!PivotTable2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sz="1400" b="0" i="0" u="none" strike="noStrike" baseline="0"/>
              <a:t>Patients with low haemoglobin by gender and age</a:t>
            </a:r>
            <a:endParaRPr lang="de-DE"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77559055118111"/>
          <c:y val="0.16564596092155148"/>
          <c:w val="0.68302996500437441"/>
          <c:h val="0.65890128317293672"/>
        </c:manualLayout>
      </c:layout>
      <c:barChart>
        <c:barDir val="col"/>
        <c:grouping val="clustered"/>
        <c:varyColors val="0"/>
        <c:ser>
          <c:idx val="0"/>
          <c:order val="0"/>
          <c:tx>
            <c:strRef>
              <c:f>Charts!$B$12:$B$13</c:f>
              <c:strCache>
                <c:ptCount val="1"/>
                <c:pt idx="0">
                  <c:v>&lt;50</c:v>
                </c:pt>
              </c:strCache>
            </c:strRef>
          </c:tx>
          <c:spPr>
            <a:solidFill>
              <a:schemeClr val="accent1"/>
            </a:solidFill>
            <a:ln>
              <a:noFill/>
            </a:ln>
            <a:effectLst/>
          </c:spPr>
          <c:invertIfNegative val="0"/>
          <c:cat>
            <c:strRef>
              <c:f>Charts!$A$14:$A$16</c:f>
              <c:strCache>
                <c:ptCount val="2"/>
                <c:pt idx="0">
                  <c:v>F</c:v>
                </c:pt>
                <c:pt idx="1">
                  <c:v>M</c:v>
                </c:pt>
              </c:strCache>
            </c:strRef>
          </c:cat>
          <c:val>
            <c:numRef>
              <c:f>Charts!$B$14:$B$16</c:f>
              <c:numCache>
                <c:formatCode>0.0\ %;\-0.0\ %;0.0\ %</c:formatCode>
                <c:ptCount val="2"/>
                <c:pt idx="0">
                  <c:v>0.22222222222222221</c:v>
                </c:pt>
                <c:pt idx="1">
                  <c:v>0</c:v>
                </c:pt>
              </c:numCache>
            </c:numRef>
          </c:val>
          <c:extLst>
            <c:ext xmlns:c16="http://schemas.microsoft.com/office/drawing/2014/chart" uri="{C3380CC4-5D6E-409C-BE32-E72D297353CC}">
              <c16:uniqueId val="{00000000-6CF5-4C57-B176-D70F8C7360D7}"/>
            </c:ext>
          </c:extLst>
        </c:ser>
        <c:ser>
          <c:idx val="1"/>
          <c:order val="1"/>
          <c:tx>
            <c:strRef>
              <c:f>Charts!$C$12:$C$13</c:f>
              <c:strCache>
                <c:ptCount val="1"/>
                <c:pt idx="0">
                  <c:v>50+</c:v>
                </c:pt>
              </c:strCache>
            </c:strRef>
          </c:tx>
          <c:spPr>
            <a:solidFill>
              <a:schemeClr val="accent2"/>
            </a:solidFill>
            <a:ln>
              <a:noFill/>
            </a:ln>
            <a:effectLst/>
          </c:spPr>
          <c:invertIfNegative val="0"/>
          <c:cat>
            <c:strRef>
              <c:f>Charts!$A$14:$A$16</c:f>
              <c:strCache>
                <c:ptCount val="2"/>
                <c:pt idx="0">
                  <c:v>F</c:v>
                </c:pt>
                <c:pt idx="1">
                  <c:v>M</c:v>
                </c:pt>
              </c:strCache>
            </c:strRef>
          </c:cat>
          <c:val>
            <c:numRef>
              <c:f>Charts!$C$14:$C$16</c:f>
              <c:numCache>
                <c:formatCode>0.0\ %;\-0.0\ %;0.0\ %</c:formatCode>
                <c:ptCount val="2"/>
                <c:pt idx="0">
                  <c:v>0.6</c:v>
                </c:pt>
                <c:pt idx="1">
                  <c:v>0</c:v>
                </c:pt>
              </c:numCache>
            </c:numRef>
          </c:val>
          <c:extLst>
            <c:ext xmlns:c16="http://schemas.microsoft.com/office/drawing/2014/chart" uri="{C3380CC4-5D6E-409C-BE32-E72D297353CC}">
              <c16:uniqueId val="{00000001-2400-44E7-9AAA-FC11042F80F9}"/>
            </c:ext>
          </c:extLst>
        </c:ser>
        <c:dLbls>
          <c:showLegendKey val="0"/>
          <c:showVal val="0"/>
          <c:showCatName val="0"/>
          <c:showSerName val="0"/>
          <c:showPercent val="0"/>
          <c:showBubbleSize val="0"/>
        </c:dLbls>
        <c:gapWidth val="219"/>
        <c:overlap val="-27"/>
        <c:axId val="1231009392"/>
        <c:axId val="556363920"/>
      </c:barChart>
      <c:catAx>
        <c:axId val="123100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6363920"/>
        <c:crosses val="autoZero"/>
        <c:auto val="1"/>
        <c:lblAlgn val="ctr"/>
        <c:lblOffset val="100"/>
        <c:noMultiLvlLbl val="0"/>
      </c:catAx>
      <c:valAx>
        <c:axId val="55636392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0.0\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1009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[Lab_Project.xlsx]Charts!PivotTable3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b="0"/>
              <a:t>Patients</a:t>
            </a:r>
            <a:r>
              <a:rPr lang="de-DE" b="0" baseline="0"/>
              <a:t> with a high ALT by gender and age</a:t>
            </a:r>
            <a:endParaRPr lang="de-DE"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2173163643474"/>
          <c:y val="0.17321661094945295"/>
          <c:w val="0.71402654304794566"/>
          <c:h val="0.61198645135833918"/>
        </c:manualLayout>
      </c:layout>
      <c:barChart>
        <c:barDir val="col"/>
        <c:grouping val="clustered"/>
        <c:varyColors val="0"/>
        <c:ser>
          <c:idx val="0"/>
          <c:order val="0"/>
          <c:tx>
            <c:strRef>
              <c:f>Charts!$B$19:$B$20</c:f>
              <c:strCache>
                <c:ptCount val="1"/>
                <c:pt idx="0">
                  <c:v>&lt;50</c:v>
                </c:pt>
              </c:strCache>
            </c:strRef>
          </c:tx>
          <c:spPr>
            <a:solidFill>
              <a:schemeClr val="accent1"/>
            </a:solidFill>
            <a:ln>
              <a:noFill/>
            </a:ln>
            <a:effectLst/>
          </c:spPr>
          <c:invertIfNegative val="0"/>
          <c:cat>
            <c:strRef>
              <c:f>Charts!$A$21:$A$23</c:f>
              <c:strCache>
                <c:ptCount val="2"/>
                <c:pt idx="0">
                  <c:v>F</c:v>
                </c:pt>
                <c:pt idx="1">
                  <c:v>M</c:v>
                </c:pt>
              </c:strCache>
            </c:strRef>
          </c:cat>
          <c:val>
            <c:numRef>
              <c:f>Charts!$B$21:$B$23</c:f>
              <c:numCache>
                <c:formatCode>0.0\ %;\-0.0\ %;0.0\ %</c:formatCode>
                <c:ptCount val="2"/>
                <c:pt idx="0">
                  <c:v>0</c:v>
                </c:pt>
                <c:pt idx="1">
                  <c:v>0</c:v>
                </c:pt>
              </c:numCache>
            </c:numRef>
          </c:val>
          <c:extLst>
            <c:ext xmlns:c16="http://schemas.microsoft.com/office/drawing/2014/chart" uri="{C3380CC4-5D6E-409C-BE32-E72D297353CC}">
              <c16:uniqueId val="{00000000-5A89-49BC-8A34-F090BA0219B0}"/>
            </c:ext>
          </c:extLst>
        </c:ser>
        <c:ser>
          <c:idx val="1"/>
          <c:order val="1"/>
          <c:tx>
            <c:strRef>
              <c:f>Charts!$C$19:$C$20</c:f>
              <c:strCache>
                <c:ptCount val="1"/>
                <c:pt idx="0">
                  <c:v>50+</c:v>
                </c:pt>
              </c:strCache>
            </c:strRef>
          </c:tx>
          <c:spPr>
            <a:solidFill>
              <a:schemeClr val="accent2"/>
            </a:solidFill>
            <a:ln>
              <a:noFill/>
            </a:ln>
            <a:effectLst/>
          </c:spPr>
          <c:invertIfNegative val="0"/>
          <c:cat>
            <c:strRef>
              <c:f>Charts!$A$21:$A$23</c:f>
              <c:strCache>
                <c:ptCount val="2"/>
                <c:pt idx="0">
                  <c:v>F</c:v>
                </c:pt>
                <c:pt idx="1">
                  <c:v>M</c:v>
                </c:pt>
              </c:strCache>
            </c:strRef>
          </c:cat>
          <c:val>
            <c:numRef>
              <c:f>Charts!$C$21:$C$23</c:f>
              <c:numCache>
                <c:formatCode>0.0\ %;\-0.0\ %;0.0\ %</c:formatCode>
                <c:ptCount val="2"/>
                <c:pt idx="0">
                  <c:v>0.2</c:v>
                </c:pt>
                <c:pt idx="1">
                  <c:v>0.33333333333333331</c:v>
                </c:pt>
              </c:numCache>
            </c:numRef>
          </c:val>
          <c:extLst>
            <c:ext xmlns:c16="http://schemas.microsoft.com/office/drawing/2014/chart" uri="{C3380CC4-5D6E-409C-BE32-E72D297353CC}">
              <c16:uniqueId val="{00000001-7C12-4ADF-908B-D473134DF7A1}"/>
            </c:ext>
          </c:extLst>
        </c:ser>
        <c:dLbls>
          <c:showLegendKey val="0"/>
          <c:showVal val="0"/>
          <c:showCatName val="0"/>
          <c:showSerName val="0"/>
          <c:showPercent val="0"/>
          <c:showBubbleSize val="0"/>
        </c:dLbls>
        <c:gapWidth val="219"/>
        <c:overlap val="-27"/>
        <c:axId val="753398912"/>
        <c:axId val="556361520"/>
      </c:barChart>
      <c:catAx>
        <c:axId val="75339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56361520"/>
        <c:crosses val="autoZero"/>
        <c:auto val="1"/>
        <c:lblAlgn val="ctr"/>
        <c:lblOffset val="100"/>
        <c:noMultiLvlLbl val="0"/>
      </c:catAx>
      <c:valAx>
        <c:axId val="55636152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0.0\ %;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53398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330200</xdr:colOff>
      <xdr:row>8</xdr:row>
      <xdr:rowOff>101600</xdr:rowOff>
    </xdr:from>
    <xdr:to>
      <xdr:col>8</xdr:col>
      <xdr:colOff>400050</xdr:colOff>
      <xdr:row>13</xdr:row>
      <xdr:rowOff>152400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C19A848C-DF07-AB27-EAFE-8C7D09C27A8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080500" y="1574800"/>
              <a:ext cx="1828800" cy="9715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260350</xdr:colOff>
      <xdr:row>1</xdr:row>
      <xdr:rowOff>152400</xdr:rowOff>
    </xdr:from>
    <xdr:to>
      <xdr:col>8</xdr:col>
      <xdr:colOff>330200</xdr:colOff>
      <xdr:row>7</xdr:row>
      <xdr:rowOff>19050</xdr:rowOff>
    </xdr:to>
    <mc:AlternateContent xmlns:mc="http://schemas.openxmlformats.org/markup-compatibility/2006" xmlns:a14="http://schemas.microsoft.com/office/drawing/2010/main">
      <mc:Choice Requires="a14">
        <xdr:graphicFrame macro="">
          <xdr:nvGraphicFramePr>
            <xdr:cNvPr id="3" name="Age_Group 1">
              <a:extLst>
                <a:ext uri="{FF2B5EF4-FFF2-40B4-BE49-F238E27FC236}">
                  <a16:creationId xmlns:a16="http://schemas.microsoft.com/office/drawing/2014/main" id="{53F06B00-01A1-CE92-6A41-9AFEED27C98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9010650" y="336550"/>
              <a:ext cx="1828800" cy="9715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101599</xdr:rowOff>
    </xdr:from>
    <xdr:to>
      <xdr:col>12</xdr:col>
      <xdr:colOff>292300</xdr:colOff>
      <xdr:row>17</xdr:row>
      <xdr:rowOff>83770</xdr:rowOff>
    </xdr:to>
    <xdr:graphicFrame macro="">
      <xdr:nvGraphicFramePr>
        <xdr:cNvPr id="2" name="Chart 1">
          <a:extLst>
            <a:ext uri="{FF2B5EF4-FFF2-40B4-BE49-F238E27FC236}">
              <a16:creationId xmlns:a16="http://schemas.microsoft.com/office/drawing/2014/main" id="{467CE10F-92C6-853B-B6A4-A2A03F5E2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8619</xdr:rowOff>
    </xdr:from>
    <xdr:to>
      <xdr:col>12</xdr:col>
      <xdr:colOff>290739</xdr:colOff>
      <xdr:row>32</xdr:row>
      <xdr:rowOff>170997</xdr:rowOff>
    </xdr:to>
    <xdr:graphicFrame macro="">
      <xdr:nvGraphicFramePr>
        <xdr:cNvPr id="3" name="Chart 2">
          <a:extLst>
            <a:ext uri="{FF2B5EF4-FFF2-40B4-BE49-F238E27FC236}">
              <a16:creationId xmlns:a16="http://schemas.microsoft.com/office/drawing/2014/main" id="{C052DE2C-8C97-ECBD-1DB4-AD23E64CF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381000</xdr:colOff>
      <xdr:row>18</xdr:row>
      <xdr:rowOff>13379</xdr:rowOff>
    </xdr:from>
    <xdr:to>
      <xdr:col>19</xdr:col>
      <xdr:colOff>603251</xdr:colOff>
      <xdr:row>32</xdr:row>
      <xdr:rowOff>176892</xdr:rowOff>
    </xdr:to>
    <xdr:graphicFrame macro="">
      <xdr:nvGraphicFramePr>
        <xdr:cNvPr id="4" name="Chart 3">
          <a:extLst>
            <a:ext uri="{FF2B5EF4-FFF2-40B4-BE49-F238E27FC236}">
              <a16:creationId xmlns:a16="http://schemas.microsoft.com/office/drawing/2014/main" id="{042DD170-923F-A469-2C1D-8B86F320D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4</xdr:row>
      <xdr:rowOff>15874</xdr:rowOff>
    </xdr:from>
    <xdr:to>
      <xdr:col>17</xdr:col>
      <xdr:colOff>606425</xdr:colOff>
      <xdr:row>9</xdr:row>
      <xdr:rowOff>74612</xdr:rowOff>
    </xdr:to>
    <mc:AlternateContent xmlns:mc="http://schemas.openxmlformats.org/markup-compatibility/2006" xmlns:a14="http://schemas.microsoft.com/office/drawing/2010/main">
      <mc:Choice Requires="a14">
        <xdr:graphicFrame macro="">
          <xdr:nvGraphicFramePr>
            <xdr:cNvPr id="5" name="Age_Group 2">
              <a:extLst>
                <a:ext uri="{FF2B5EF4-FFF2-40B4-BE49-F238E27FC236}">
                  <a16:creationId xmlns:a16="http://schemas.microsoft.com/office/drawing/2014/main" id="{41C79AE9-7BB2-4CBB-90B7-198C80B84099}"/>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6111875" y="1595437"/>
              <a:ext cx="1828800" cy="9715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1588</xdr:colOff>
      <xdr:row>10</xdr:row>
      <xdr:rowOff>152401</xdr:rowOff>
    </xdr:from>
    <xdr:to>
      <xdr:col>17</xdr:col>
      <xdr:colOff>608013</xdr:colOff>
      <xdr:row>16</xdr:row>
      <xdr:rowOff>28576</xdr:rowOff>
    </xdr:to>
    <mc:AlternateContent xmlns:mc="http://schemas.openxmlformats.org/markup-compatibility/2006" xmlns:a14="http://schemas.microsoft.com/office/drawing/2010/main">
      <mc:Choice Requires="a14">
        <xdr:graphicFrame macro="">
          <xdr:nvGraphicFramePr>
            <xdr:cNvPr id="6" name="Gender 2">
              <a:extLst>
                <a:ext uri="{FF2B5EF4-FFF2-40B4-BE49-F238E27FC236}">
                  <a16:creationId xmlns:a16="http://schemas.microsoft.com/office/drawing/2014/main" id="{7E28774C-82BA-49ED-8FA8-A073BA7BD71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113463" y="2827339"/>
              <a:ext cx="1828800" cy="9715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762000</xdr:colOff>
      <xdr:row>12</xdr:row>
      <xdr:rowOff>177800</xdr:rowOff>
    </xdr:from>
    <xdr:to>
      <xdr:col>2</xdr:col>
      <xdr:colOff>628650</xdr:colOff>
      <xdr:row>17</xdr:row>
      <xdr:rowOff>127000</xdr:rowOff>
    </xdr:to>
    <mc:AlternateContent xmlns:mc="http://schemas.openxmlformats.org/markup-compatibility/2006" xmlns:a14="http://schemas.microsoft.com/office/drawing/2010/main">
      <mc:Choice Requires="a14">
        <xdr:graphicFrame macro="">
          <xdr:nvGraphicFramePr>
            <xdr:cNvPr id="2" name="Age_Group">
              <a:extLst>
                <a:ext uri="{FF2B5EF4-FFF2-40B4-BE49-F238E27FC236}">
                  <a16:creationId xmlns:a16="http://schemas.microsoft.com/office/drawing/2014/main" id="{427A05FA-9745-DEF0-8F1A-C3510663900F}"/>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762000" y="2387600"/>
              <a:ext cx="1828800" cy="869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63500</xdr:colOff>
      <xdr:row>12</xdr:row>
      <xdr:rowOff>88900</xdr:rowOff>
    </xdr:from>
    <xdr:to>
      <xdr:col>4</xdr:col>
      <xdr:colOff>539750</xdr:colOff>
      <xdr:row>17</xdr:row>
      <xdr:rowOff>88900</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084E700E-B6A6-1C8C-7F30-1D6FD320A8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82950" y="2298700"/>
              <a:ext cx="1828800" cy="9207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56365742" backgroundQuery="1" createdVersion="8" refreshedVersion="8" minRefreshableVersion="3" recordCount="0" supportSubquery="1" supportAdvancedDrill="1" xr:uid="{C6A8EC5B-1233-4EDE-80E0-682927256286}">
  <cacheSource type="external" connectionId="10"/>
  <cacheFields count="2">
    <cacheField name="[Measures].[Patient Count]" caption="Patient Count" numFmtId="0" hierarchy="26" level="32767"/>
    <cacheField name="[Measures].[Count of Value]" caption="Count of Value" numFmtId="0" hierarchy="43"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0" memberValueDatatype="130" unbalanced="0"/>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0" memberValueDatatype="130" unbalanced="0"/>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0"/>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oneField="1" hidden="1">
      <fieldsUsage count="1">
        <fieldUsage x="1"/>
      </fieldsUsage>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75000001" backgroundQuery="1" createdVersion="8" refreshedVersion="8" minRefreshableVersion="3" recordCount="0" supportSubquery="1" supportAdvancedDrill="1" xr:uid="{27796B27-241C-4882-83F9-7F09D1F39B74}">
  <cacheSource type="external" connectionId="10"/>
  <cacheFields count="3">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Measures].[Patient Count]" caption="Patient Count" numFmtId="0" hierarchy="26"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2"/>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78587965" backgroundQuery="1" createdVersion="8" refreshedVersion="8" minRefreshableVersion="3" recordCount="0" supportSubquery="1" supportAdvancedDrill="1" xr:uid="{D6A230C3-9825-48A8-B60E-3ACFE34C2F9F}">
  <cacheSource type="external" connectionId="10"/>
  <cacheFields count="7">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dim_patients].[LDL_Group].[LDL_Group]" caption="LDL_Group" numFmtId="0" hierarchy="13" level="1">
      <sharedItems count="2">
        <s v="High LDL"/>
        <s v="Within-range LDL"/>
      </sharedItems>
    </cacheField>
    <cacheField name="[Measures].[High LDL Patients]" caption="High LDL Patients" numFmtId="0" hierarchy="25" level="32767"/>
    <cacheField name="[Measures].[High LDL Percentage]" caption="High LDL Percentage" numFmtId="0" hierarchy="27" level="32767"/>
    <cacheField name="[Measures].[Patients with Low HDL]" caption="Patients with Low HDL" numFmtId="0" hierarchy="33" level="32767"/>
    <cacheField name="[Measures].[Low HDL Percentage]" caption="Low HDL Percentage" numFmtId="0" hierarchy="34"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2" memberValueDatatype="130" unbalanced="0">
      <fieldsUsage count="2">
        <fieldUsage x="-1"/>
        <fieldUsage x="2"/>
      </fieldsUsage>
    </cacheHierarchy>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oneField="1">
      <fieldsUsage count="1">
        <fieldUsage x="3"/>
      </fieldsUsage>
    </cacheHierarchy>
    <cacheHierarchy uniqueName="[Measures].[Patient Count]" caption="Patient Count" measure="1" displayFolder="" measureGroup="fact_lab_results" count="0"/>
    <cacheHierarchy uniqueName="[Measures].[High LDL Percentage]" caption="High LDL Percentage" measure="1" displayFolder="" measureGroup="fact_lab_results" count="0" oneField="1">
      <fieldsUsage count="1">
        <fieldUsage x="4"/>
      </fieldsUsage>
    </cacheHierarchy>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oneField="1">
      <fieldsUsage count="1">
        <fieldUsage x="5"/>
      </fieldsUsage>
    </cacheHierarchy>
    <cacheHierarchy uniqueName="[Measures].[Low HDL Percentage]" caption="Low HDL Percentage" measure="1" displayFolder="" measureGroup="fact_lab_results" count="0" oneField="1">
      <fieldsUsage count="1">
        <fieldUsage x="6"/>
      </fieldsUsage>
    </cacheHierarchy>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81712967" backgroundQuery="1" createdVersion="8" refreshedVersion="8" minRefreshableVersion="3" recordCount="0" supportSubquery="1" supportAdvancedDrill="1" xr:uid="{4DF76EF2-5386-4014-BD94-8FCFEB2FF163}">
  <cacheSource type="external" connectionId="10"/>
  <cacheFields count="2">
    <cacheField name="[dim_patients].[Gender].[Gender]" caption="Gender" numFmtId="0" hierarchy="4" level="1">
      <sharedItems count="2">
        <s v="F"/>
        <s v="M"/>
      </sharedItems>
    </cacheField>
    <cacheField name="[Measures].[Patient Count]" caption="Patient Count" numFmtId="0" hierarchy="26"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0" memberValueDatatype="130" unbalanced="0"/>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1"/>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83217591" backgroundQuery="1" createdVersion="8" refreshedVersion="8" minRefreshableVersion="3" recordCount="0" supportSubquery="1" supportAdvancedDrill="1" xr:uid="{6B029522-F745-4F07-833D-7CA58F805E30}">
  <cacheSource type="external" connectionId="10"/>
  <cacheFields count="2">
    <cacheField name="[dim_patients].[Age].[Age]" caption="Age" numFmtId="0" hierarchy="3" level="1">
      <sharedItems containsSemiMixedTypes="0" containsString="0" containsNumber="1" containsInteger="1" minValue="25" maxValue="74" count="27">
        <n v="25"/>
        <n v="27"/>
        <n v="29"/>
        <n v="31"/>
        <n v="33"/>
        <n v="36"/>
        <n v="38"/>
        <n v="39"/>
        <n v="42"/>
        <n v="44"/>
        <n v="45"/>
        <n v="47"/>
        <n v="48"/>
        <n v="49"/>
        <n v="51"/>
        <n v="53"/>
        <n v="55"/>
        <n v="58"/>
        <n v="60"/>
        <n v="61"/>
        <n v="62"/>
        <n v="63"/>
        <n v="65"/>
        <n v="67"/>
        <n v="70"/>
        <n v="72"/>
        <n v="74"/>
      </sharedItems>
      <extLst>
        <ext xmlns:x15="http://schemas.microsoft.com/office/spreadsheetml/2010/11/main" uri="{4F2E5C28-24EA-4eb8-9CBF-B6C8F9C3D259}">
          <x15:cachedUniqueNames>
            <x15:cachedUniqueName index="0" name="[dim_patients].[Age].&amp;[25]"/>
            <x15:cachedUniqueName index="1" name="[dim_patients].[Age].&amp;[27]"/>
            <x15:cachedUniqueName index="2" name="[dim_patients].[Age].&amp;[29]"/>
            <x15:cachedUniqueName index="3" name="[dim_patients].[Age].&amp;[31]"/>
            <x15:cachedUniqueName index="4" name="[dim_patients].[Age].&amp;[33]"/>
            <x15:cachedUniqueName index="5" name="[dim_patients].[Age].&amp;[36]"/>
            <x15:cachedUniqueName index="6" name="[dim_patients].[Age].&amp;[38]"/>
            <x15:cachedUniqueName index="7" name="[dim_patients].[Age].&amp;[39]"/>
            <x15:cachedUniqueName index="8" name="[dim_patients].[Age].&amp;[42]"/>
            <x15:cachedUniqueName index="9" name="[dim_patients].[Age].&amp;[44]"/>
            <x15:cachedUniqueName index="10" name="[dim_patients].[Age].&amp;[45]"/>
            <x15:cachedUniqueName index="11" name="[dim_patients].[Age].&amp;[47]"/>
            <x15:cachedUniqueName index="12" name="[dim_patients].[Age].&amp;[48]"/>
            <x15:cachedUniqueName index="13" name="[dim_patients].[Age].&amp;[49]"/>
            <x15:cachedUniqueName index="14" name="[dim_patients].[Age].&amp;[51]"/>
            <x15:cachedUniqueName index="15" name="[dim_patients].[Age].&amp;[53]"/>
            <x15:cachedUniqueName index="16" name="[dim_patients].[Age].&amp;[55]"/>
            <x15:cachedUniqueName index="17" name="[dim_patients].[Age].&amp;[58]"/>
            <x15:cachedUniqueName index="18" name="[dim_patients].[Age].&amp;[60]"/>
            <x15:cachedUniqueName index="19" name="[dim_patients].[Age].&amp;[61]"/>
            <x15:cachedUniqueName index="20" name="[dim_patients].[Age].&amp;[62]"/>
            <x15:cachedUniqueName index="21" name="[dim_patients].[Age].&amp;[63]"/>
            <x15:cachedUniqueName index="22" name="[dim_patients].[Age].&amp;[65]"/>
            <x15:cachedUniqueName index="23" name="[dim_patients].[Age].&amp;[67]"/>
            <x15:cachedUniqueName index="24" name="[dim_patients].[Age].&amp;[70]"/>
            <x15:cachedUniqueName index="25" name="[dim_patients].[Age].&amp;[72]"/>
            <x15:cachedUniqueName index="26" name="[dim_patients].[Age].&amp;[74]"/>
          </x15:cachedUniqueNames>
        </ext>
      </extLst>
    </cacheField>
    <cacheField name="[Measures].[Patient Count]" caption="Patient Count" numFmtId="0" hierarchy="26"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2" memberValueDatatype="20" unbalanced="0">
      <fieldsUsage count="2">
        <fieldUsage x="-1"/>
        <fieldUsage x="0"/>
      </fieldsUsage>
    </cacheHierarchy>
    <cacheHierarchy uniqueName="[dim_patients].[Gender]" caption="Gender" attribute="1" defaultMemberUniqueName="[dim_patients].[Gender].[All]" allUniqueName="[dim_patients].[Gender].[All]" dimensionUniqueName="[dim_patients]" displayFolder="" count="0" memberValueDatatype="130" unbalanced="0"/>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0" memberValueDatatype="130" unbalanced="0"/>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1"/>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84722223" backgroundQuery="1" createdVersion="8" refreshedVersion="8" minRefreshableVersion="3" recordCount="0" supportSubquery="1" supportAdvancedDrill="1" xr:uid="{83316401-0D7A-42B1-AFBC-1AEA346020EC}">
  <cacheSource type="external" connectionId="10"/>
  <cacheFields count="3">
    <cacheField name="[Measures].[Patient Count]" caption="Patient Count" numFmtId="0" hierarchy="26" level="32767"/>
    <cacheField name="[dim_patients].[Age_Decade].[Age_Decade]" caption="Age_Decade" numFmtId="0" hierarchy="11" level="1">
      <sharedItems count="6">
        <s v="20–29"/>
        <s v="30–39"/>
        <s v="40–49"/>
        <s v="50–59"/>
        <s v="60–69"/>
        <s v="70–79"/>
      </sharedItems>
    </cacheField>
    <cacheField name="[dim_patients].[Gender].[Gender]" caption="Gender" numFmtId="0" hierarchy="4" level="1">
      <sharedItems count="2">
        <s v="F"/>
        <s v="M"/>
      </sharedItems>
    </cacheField>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2"/>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2" memberValueDatatype="130" unbalanced="0">
      <fieldsUsage count="2">
        <fieldUsage x="-1"/>
        <fieldUsage x="1"/>
      </fieldsUsage>
    </cacheHierarchy>
    <cacheHierarchy uniqueName="[dim_patients].[Age_Group]" caption="Age_Group" attribute="1" defaultMemberUniqueName="[dim_patients].[Age_Group].[All]" allUniqueName="[dim_patients].[Age_Group].[All]" dimensionUniqueName="[dim_patients]" displayFolder="" count="0" memberValueDatatype="130" unbalanced="0"/>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0"/>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86111108" backgroundQuery="1" createdVersion="8" refreshedVersion="8" minRefreshableVersion="3" recordCount="0" supportSubquery="1" supportAdvancedDrill="1" xr:uid="{CAE3AFF3-DB65-496E-97A6-240095718826}">
  <cacheSource type="external" connectionId="10"/>
  <cacheFields count="3">
    <cacheField name="[dim_patients].[Age_Group].[Age_Group]" caption="Age_Group" numFmtId="0" hierarchy="12" level="1">
      <sharedItems count="2">
        <s v="&lt;50"/>
        <s v="50+"/>
      </sharedItems>
    </cacheField>
    <cacheField name="[Measures].[Patient Count]" caption="Patient Count" numFmtId="0" hierarchy="26" level="32767"/>
    <cacheField name="[dim_patients].[Gender].[Gender]" caption="Gender" numFmtId="0" hierarchy="4" level="1">
      <sharedItems count="2">
        <s v="F"/>
        <s v="M"/>
      </sharedItems>
    </cacheField>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2"/>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0"/>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1"/>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310.580329745368" backgroundQuery="1" createdVersion="8" refreshedVersion="8" minRefreshableVersion="3" recordCount="0" supportSubquery="1" supportAdvancedDrill="1" xr:uid="{5BD0A2CD-91B5-4117-907A-F22F8308E8E5}">
  <cacheSource type="external" connectionId="10"/>
  <cacheFields count="5">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Measures].[High LDL Patients]" caption="High LDL Patients" numFmtId="0" hierarchy="25" level="32767"/>
    <cacheField name="[Measures].[High LDL Percentage]" caption="High LDL Percentage" numFmtId="0" hierarchy="27" level="32767"/>
    <cacheField name="[Measures].[Patient Count]" caption="Patient Count" numFmtId="0" hierarchy="26"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oneField="1">
      <fieldsUsage count="1">
        <fieldUsage x="2"/>
      </fieldsUsage>
    </cacheHierarchy>
    <cacheHierarchy uniqueName="[Measures].[Patient Count]" caption="Patient Count" measure="1" displayFolder="" measureGroup="fact_lab_results" count="0" oneField="1">
      <fieldsUsage count="1">
        <fieldUsage x="4"/>
      </fieldsUsage>
    </cacheHierarchy>
    <cacheHierarchy uniqueName="[Measures].[High LDL Percentage]" caption="High LDL Percentage" measure="1" displayFolder="" measureGroup="fact_lab_results" count="0" oneField="1">
      <fieldsUsage count="1">
        <fieldUsage x="3"/>
      </fieldsUsage>
    </cacheHierarchy>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310.580330092591" backgroundQuery="1" createdVersion="8" refreshedVersion="8" minRefreshableVersion="3" recordCount="0" supportSubquery="1" supportAdvancedDrill="1" xr:uid="{CFF4DDF3-DEE2-441E-84F7-355D0436B970}">
  <cacheSource type="external" connectionId="10"/>
  <cacheFields count="5">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Measures].[Patient Count]" caption="Patient Count" numFmtId="0" hierarchy="26" level="32767"/>
    <cacheField name="[Measures].[Low Haemoglobin Patients]" caption="Low Haemoglobin Patients" numFmtId="0" hierarchy="28" level="32767"/>
    <cacheField name="[Measures].[Low Haemoglobin Percentage]" caption="Low Haemoglobin Percentage" numFmtId="0" hierarchy="29"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2"/>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oneField="1">
      <fieldsUsage count="1">
        <fieldUsage x="3"/>
      </fieldsUsage>
    </cacheHierarchy>
    <cacheHierarchy uniqueName="[Measures].[Low Haemoglobin Percentage]" caption="Low Haemoglobin Percentage" measure="1" displayFolder="" measureGroup="fact_lab_results" count="0" oneField="1">
      <fieldsUsage count="1">
        <fieldUsage x="4"/>
      </fieldsUsage>
    </cacheHierarchy>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310.580330439814" backgroundQuery="1" createdVersion="8" refreshedVersion="8" minRefreshableVersion="3" recordCount="0" supportSubquery="1" supportAdvancedDrill="1" xr:uid="{358949F3-E3BC-4898-89FB-D4AC4631686A}">
  <cacheSource type="external" connectionId="10"/>
  <cacheFields count="5">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Measures].[Patient Count]" caption="Patient Count" numFmtId="0" hierarchy="26" level="32767"/>
    <cacheField name="[Measures].[High ALT Patients]" caption="High ALT Patients" numFmtId="0" hierarchy="35" level="32767"/>
    <cacheField name="[Measures].[High ALT %]" caption="High ALT %" numFmtId="0" hierarchy="36"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oneField="1">
      <fieldsUsage count="1">
        <fieldUsage x="2"/>
      </fieldsUsage>
    </cacheHierarchy>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oneField="1">
      <fieldsUsage count="1">
        <fieldUsage x="3"/>
      </fieldsUsage>
    </cacheHierarchy>
    <cacheHierarchy uniqueName="[Measures].[High ALT %]" caption="High ALT %" measure="1" displayFolder="" measureGroup="fact_lab_results" count="0" oneField="1">
      <fieldsUsage count="1">
        <fieldUsage x="4"/>
      </fieldsUsage>
    </cacheHierarchy>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310.580330787037" backgroundQuery="1" createdVersion="8" refreshedVersion="8" minRefreshableVersion="3" recordCount="0" supportSubquery="1" supportAdvancedDrill="1" xr:uid="{393CA1DC-461A-41A7-B08F-7A5D1A31457A}">
  <cacheSource type="external" connectionId="10"/>
  <cacheFields count="5">
    <cacheField name="[Measures].[Patients with both tests]" caption="Patients with both tests" numFmtId="0" hierarchy="32" level="32767"/>
    <cacheField name="[Measures].[Patients with Low HDL]" caption="Patients with Low HDL" numFmtId="0" hierarchy="33" level="32767"/>
    <cacheField name="[Measures].[Low HDL Percentage]" caption="Low HDL Percentage" numFmtId="0" hierarchy="34" level="32767"/>
    <cacheField name="[dim_patients].[LDL_Group].[LDL_Group]" caption="LDL_Group" numFmtId="0" hierarchy="13" level="1">
      <sharedItems count="2">
        <s v="High LDL"/>
        <s v="Within-range LDL"/>
      </sharedItems>
    </cacheField>
    <cacheField name="[dim_patients].[Gender].[Gender]" caption="Gender" numFmtId="0" hierarchy="4" level="1">
      <sharedItems containsSemiMixedTypes="0" containsNonDate="0" containsString="0"/>
    </cacheField>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4"/>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cacheHierarchy uniqueName="[dim_patients].[LDL_Group]" caption="LDL_Group" attribute="1" defaultMemberUniqueName="[dim_patients].[LDL_Group].[All]" allUniqueName="[dim_patients].[LDL_Group].[All]" dimensionUniqueName="[dim_patients]" displayFolder="" count="2" memberValueDatatype="130" unbalanced="0">
      <fieldsUsage count="2">
        <fieldUsage x="-1"/>
        <fieldUsage x="3"/>
      </fieldsUsage>
    </cacheHierarchy>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oneField="1">
      <fieldsUsage count="1">
        <fieldUsage x="0"/>
      </fieldsUsage>
    </cacheHierarchy>
    <cacheHierarchy uniqueName="[Measures].[Patients with Low HDL]" caption="Patients with Low HDL" measure="1" displayFolder="" measureGroup="fact_lab_results" count="0" oneField="1">
      <fieldsUsage count="1">
        <fieldUsage x="1"/>
      </fieldsUsage>
    </cacheHierarchy>
    <cacheHierarchy uniqueName="[Measures].[Low HDL Percentage]" caption="Low HDL Percentage" measure="1" displayFolder="" measureGroup="fact_lab_results" count="0" oneField="1">
      <fieldsUsage count="1">
        <fieldUsage x="2"/>
      </fieldsUsage>
    </cacheHierarchy>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310.580331249999" backgroundQuery="1" createdVersion="8" refreshedVersion="8" minRefreshableVersion="3" recordCount="0" supportSubquery="1" supportAdvancedDrill="1" xr:uid="{F0FF3187-4397-4332-AE9C-384C07DFD9C9}">
  <cacheSource type="external" connectionId="10"/>
  <cacheFields count="3">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Measures].[High LDL Percentage]" caption="High LDL Percentage" numFmtId="0" hierarchy="27"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cacheHierarchy uniqueName="[Measures].[High LDL Percentage]" caption="High LDL Percentage" measure="1" displayFolder="" measureGroup="fact_lab_results" count="0" oneField="1">
      <fieldsUsage count="1">
        <fieldUsage x="2"/>
      </fieldsUsage>
    </cacheHierarchy>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310.580331712961" backgroundQuery="1" createdVersion="8" refreshedVersion="8" minRefreshableVersion="3" recordCount="0" supportSubquery="1" supportAdvancedDrill="1" xr:uid="{7C044AEE-6D89-49CD-A255-A6581F23AA45}">
  <cacheSource type="external" connectionId="10"/>
  <cacheFields count="3">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Measures].[Low Haemoglobin Percentage]" caption="Low Haemoglobin Percentage" numFmtId="0" hierarchy="29"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oneField="1">
      <fieldsUsage count="1">
        <fieldUsage x="2"/>
      </fieldsUsage>
    </cacheHierarchy>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310.580332407408" backgroundQuery="1" createdVersion="8" refreshedVersion="8" minRefreshableVersion="3" recordCount="0" supportSubquery="1" supportAdvancedDrill="1" xr:uid="{A34CF244-1EF5-4F65-86EF-1376547A46FD}">
  <cacheSource type="external" connectionId="10"/>
  <cacheFields count="3">
    <cacheField name="[dim_patients].[Gender].[Gender]" caption="Gender" numFmtId="0" hierarchy="4" level="1">
      <sharedItems count="2">
        <s v="F"/>
        <s v="M"/>
      </sharedItems>
    </cacheField>
    <cacheField name="[dim_patients].[Age_Group].[Age_Group]" caption="Age_Group" numFmtId="0" hierarchy="12" level="1">
      <sharedItems count="2">
        <s v="&lt;50"/>
        <s v="50+"/>
      </sharedItems>
    </cacheField>
    <cacheField name="[Measures].[High ALT %]" caption="High ALT %" numFmtId="0" hierarchy="36" level="32767"/>
  </cacheFields>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fieldsUsage count="2">
        <fieldUsage x="-1"/>
        <fieldUsage x="0"/>
      </fieldsUsage>
    </cacheHierarchy>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fieldsUsage count="2">
        <fieldUsage x="-1"/>
        <fieldUsage x="1"/>
      </fieldsUsage>
    </cacheHierarchy>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oneField="1">
      <fieldsUsage count="1">
        <fieldUsage x="2"/>
      </fieldsUsage>
    </cacheHierarchy>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dimensions count="4">
    <dimension name="dim_patients" uniqueName="[dim_patients]" caption="dim_patients"/>
    <dimension name="dim_reference_intervals" uniqueName="[dim_reference_intervals]" caption="dim_reference_intervals"/>
    <dimension name="fact_lab_results" uniqueName="[fact_lab_results]" caption="fact_lab_results"/>
    <dimension measure="1" name="Measures" uniqueName="[Measures]" caption="Measures"/>
  </dimensions>
  <measureGroups count="3">
    <measureGroup name="dim_patients" caption="dim_patients"/>
    <measureGroup name="dim_reference_intervals" caption="dim_reference_intervals"/>
    <measureGroup name="fact_lab_results" caption="fact_lab_results"/>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57754628" backgroundQuery="1" createdVersion="3" refreshedVersion="8" minRefreshableVersion="3" recordCount="0" supportSubquery="1" supportAdvancedDrill="1" xr:uid="{FA0208AB-68A2-4781-A336-3C7FD0C60510}">
  <cacheSource type="external" connectionId="10">
    <extLst>
      <ext xmlns:x14="http://schemas.microsoft.com/office/spreadsheetml/2009/9/main" uri="{F057638F-6D5F-4e77-A914-E7F072B9BCA8}">
        <x14:sourceConnection name="ThisWorkbookDataModel"/>
      </ext>
    </extLst>
  </cacheSource>
  <cacheFields count="0"/>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70060143"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BZ" refreshedDate="46279.659176273148" backgroundQuery="1" createdVersion="3" refreshedVersion="8" minRefreshableVersion="3" recordCount="0" supportSubquery="1" supportAdvancedDrill="1" xr:uid="{5606FE18-9DA4-4EFE-8121-8BCF54690256}">
  <cacheSource type="external" connectionId="10">
    <extLst>
      <ext xmlns:x14="http://schemas.microsoft.com/office/spreadsheetml/2009/9/main" uri="{F057638F-6D5F-4e77-A914-E7F072B9BCA8}">
        <x14:sourceConnection name="ThisWorkbookDataModel"/>
      </ext>
    </extLst>
  </cacheSource>
  <cacheFields count="0"/>
  <cacheHierarchies count="44">
    <cacheHierarchy uniqueName="[dim_patients].[Patient_ID]" caption="Patient_ID" attribute="1" defaultMemberUniqueName="[dim_patients].[Patient_ID].[All]" allUniqueName="[dim_patients].[Patient_ID].[All]" dimensionUniqueName="[dim_patients]" displayFolder="" count="0" memberValueDatatype="130" unbalanced="0"/>
    <cacheHierarchy uniqueName="[dim_patients].[First_Name]" caption="First_Name" attribute="1" defaultMemberUniqueName="[dim_patients].[First_Name].[All]" allUniqueName="[dim_patients].[First_Name].[All]" dimensionUniqueName="[dim_patients]" displayFolder="" count="0" memberValueDatatype="130" unbalanced="0"/>
    <cacheHierarchy uniqueName="[dim_patients].[Last_Name]" caption="Last_Name" attribute="1" defaultMemberUniqueName="[dim_patients].[Last_Name].[All]" allUniqueName="[dim_patients].[Last_Name].[All]" dimensionUniqueName="[dim_patients]" displayFolder="" count="0" memberValueDatatype="130" unbalanced="0"/>
    <cacheHierarchy uniqueName="[dim_patients].[Age]" caption="Age" attribute="1" defaultMemberUniqueName="[dim_patients].[Age].[All]" allUniqueName="[dim_patients].[Age].[All]" dimensionUniqueName="[dim_patients]" displayFolder="" count="0" memberValueDatatype="20" unbalanced="0"/>
    <cacheHierarchy uniqueName="[dim_patients].[Gender]" caption="Gender" attribute="1" defaultMemberUniqueName="[dim_patients].[Gender].[All]" allUniqueName="[dim_patients].[Gender].[All]" dimensionUniqueName="[dim_patients]" displayFolder="" count="2" memberValueDatatype="130" unbalanced="0"/>
    <cacheHierarchy uniqueName="[dim_patients].[City]" caption="City" attribute="1" defaultMemberUniqueName="[dim_patients].[City].[All]" allUniqueName="[dim_patients].[City].[All]" dimensionUniqueName="[dim_patients]" displayFolder="" count="0" memberValueDatatype="130" unbalanced="0"/>
    <cacheHierarchy uniqueName="[dim_patients].[Address]" caption="Address" attribute="1" defaultMemberUniqueName="[dim_patients].[Address].[All]" allUniqueName="[dim_patients].[Address].[All]" dimensionUniqueName="[dim_patients]" displayFolder="" count="0" memberValueDatatype="130" unbalanced="0"/>
    <cacheHierarchy uniqueName="[dim_patients].[Postal_Code]" caption="Postal_Code" attribute="1" defaultMemberUniqueName="[dim_patients].[Postal_Code].[All]" allUniqueName="[dim_patients].[Postal_Code].[All]" dimensionUniqueName="[dim_patients]" displayFolder="" count="0" memberValueDatatype="20" unbalanced="0"/>
    <cacheHierarchy uniqueName="[dim_patients].[Phone]" caption="Phone" attribute="1" defaultMemberUniqueName="[dim_patients].[Phone].[All]" allUniqueName="[dim_patients].[Phone].[All]" dimensionUniqueName="[dim_patients]" displayFolder="" count="0" memberValueDatatype="130" unbalanced="0"/>
    <cacheHierarchy uniqueName="[dim_patients].[Email]" caption="Email" attribute="1" defaultMemberUniqueName="[dim_patients].[Email].[All]" allUniqueName="[dim_patients].[Email].[All]" dimensionUniqueName="[dim_patients]" displayFolder="" count="0" memberValueDatatype="130" unbalanced="0"/>
    <cacheHierarchy uniqueName="[dim_patients].[Age_Decade_Start]" caption="Age_Decade_Start" attribute="1" defaultMemberUniqueName="[dim_patients].[Age_Decade_Start].[All]" allUniqueName="[dim_patients].[Age_Decade_Start].[All]" dimensionUniqueName="[dim_patients]" displayFolder="" count="0" memberValueDatatype="20" unbalanced="0"/>
    <cacheHierarchy uniqueName="[dim_patients].[Age_Decade]" caption="Age_Decade" attribute="1" defaultMemberUniqueName="[dim_patients].[Age_Decade].[All]" allUniqueName="[dim_patients].[Age_Decade].[All]" dimensionUniqueName="[dim_patients]" displayFolder="" count="0" memberValueDatatype="130" unbalanced="0"/>
    <cacheHierarchy uniqueName="[dim_patients].[Age_Group]" caption="Age_Group" attribute="1" defaultMemberUniqueName="[dim_patients].[Age_Group].[All]" allUniqueName="[dim_patients].[Age_Group].[All]" dimensionUniqueName="[dim_patients]" displayFolder="" count="2" memberValueDatatype="130" unbalanced="0"/>
    <cacheHierarchy uniqueName="[dim_patients].[LDL_Group]" caption="LDL_Group" attribute="1" defaultMemberUniqueName="[dim_patients].[LDL_Group].[All]" allUniqueName="[dim_patients].[LDL_Group].[All]" dimensionUniqueName="[dim_patients]" displayFolder="" count="0" memberValueDatatype="130" unbalanced="0"/>
    <cacheHierarchy uniqueName="[dim_reference_intervals].[Metric]" caption="Metric" attribute="1" defaultMemberUniqueName="[dim_reference_intervals].[Metric].[All]" allUniqueName="[dim_reference_intervals].[Metric].[All]" dimensionUniqueName="[dim_reference_intervals]" displayFolder="" count="0" memberValueDatatype="130" unbalanced="0"/>
    <cacheHierarchy uniqueName="[dim_reference_intervals].[Unit]" caption="Unit" attribute="1" defaultMemberUniqueName="[dim_reference_intervals].[Unit].[All]" allUniqueName="[dim_reference_intervals].[Unit].[All]" dimensionUniqueName="[dim_reference_intervals]" displayFolder="" count="0" memberValueDatatype="130" unbalanced="0"/>
    <cacheHierarchy uniqueName="[dim_reference_intervals].[Low_Threshold]" caption="Low_Threshold" attribute="1" defaultMemberUniqueName="[dim_reference_intervals].[Low_Threshold].[All]" allUniqueName="[dim_reference_intervals].[Low_Threshold].[All]" dimensionUniqueName="[dim_reference_intervals]" displayFolder="" count="0" memberValueDatatype="5" unbalanced="0"/>
    <cacheHierarchy uniqueName="[dim_reference_intervals].[Normal_Min]" caption="Normal_Min" attribute="1" defaultMemberUniqueName="[dim_reference_intervals].[Normal_Min].[All]" allUniqueName="[dim_reference_intervals].[Normal_Min].[All]" dimensionUniqueName="[dim_reference_intervals]" displayFolder="" count="0" memberValueDatatype="5" unbalanced="0"/>
    <cacheHierarchy uniqueName="[dim_reference_intervals].[Normal_Max]" caption="Normal_Max" attribute="1" defaultMemberUniqueName="[dim_reference_intervals].[Normal_Max].[All]" allUniqueName="[dim_reference_intervals].[Normal_Max].[All]" dimensionUniqueName="[dim_reference_intervals]" displayFolder="" count="0" memberValueDatatype="5" unbalanced="0"/>
    <cacheHierarchy uniqueName="[dim_reference_intervals].[High_Threshold]" caption="High_Threshold" attribute="1" defaultMemberUniqueName="[dim_reference_intervals].[High_Threshold].[All]" allUniqueName="[dim_reference_intervals].[High_Threshold].[All]" dimensionUniqueName="[dim_reference_intervals]" displayFolder="" count="0" memberValueDatatype="5" unbalanced="0"/>
    <cacheHierarchy uniqueName="[dim_reference_intervals].[Description]" caption="Description" attribute="1" defaultMemberUniqueName="[dim_reference_intervals].[Description].[All]" allUniqueName="[dim_reference_intervals].[Description].[All]" dimensionUniqueName="[dim_reference_intervals]" displayFolder="" count="0" memberValueDatatype="130" unbalanced="0"/>
    <cacheHierarchy uniqueName="[fact_lab_results].[Patient_ID]" caption="Patient_ID" attribute="1" defaultMemberUniqueName="[fact_lab_results].[Patient_ID].[All]" allUniqueName="[fact_lab_results].[Patient_ID].[All]" dimensionUniqueName="[fact_lab_results]" displayFolder="" count="0" memberValueDatatype="130" unbalanced="0"/>
    <cacheHierarchy uniqueName="[fact_lab_results].[Metric]" caption="Metric" attribute="1" defaultMemberUniqueName="[fact_lab_results].[Metric].[All]" allUniqueName="[fact_lab_results].[Metric].[All]" dimensionUniqueName="[fact_lab_results]" displayFolder="" count="0" memberValueDatatype="130" unbalanced="0"/>
    <cacheHierarchy uniqueName="[fact_lab_results].[Value]" caption="Value" attribute="1" defaultMemberUniqueName="[fact_lab_results].[Value].[All]" allUniqueName="[fact_lab_results].[Value].[All]" dimensionUniqueName="[fact_lab_results]" displayFolder="" count="0" memberValueDatatype="5" unbalanced="0"/>
    <cacheHierarchy uniqueName="[fact_lab_results].[Result_Status]" caption="Result_Status" attribute="1" defaultMemberUniqueName="[fact_lab_results].[Result_Status].[All]" allUniqueName="[fact_lab_results].[Result_Status].[All]" dimensionUniqueName="[fact_lab_results]" displayFolder="" count="0" memberValueDatatype="130" unbalanced="0"/>
    <cacheHierarchy uniqueName="[Measures].[High LDL Patients]" caption="High LDL Patients" measure="1" displayFolder="" measureGroup="fact_lab_results" count="0"/>
    <cacheHierarchy uniqueName="[Measures].[Patient Count]" caption="Patient Count" measure="1" displayFolder="" measureGroup="fact_lab_results" count="0"/>
    <cacheHierarchy uniqueName="[Measures].[High LDL Percentage]" caption="High LDL Percentage" measure="1" displayFolder="" measureGroup="fact_lab_results" count="0"/>
    <cacheHierarchy uniqueName="[Measures].[Low Haemoglobin Patients]" caption="Low Haemoglobin Patients" measure="1" displayFolder="" measureGroup="fact_lab_results" count="0"/>
    <cacheHierarchy uniqueName="[Measures].[Low Haemoglobin Percentage]" caption="Low Haemoglobin Percentage" measure="1" displayFolder="" measureGroup="fact_lab_results" count="0"/>
    <cacheHierarchy uniqueName="[Measures].[Low HDL Percentage among High LD]" caption="Low HDL Percentage among High LD" measure="1" displayFolder="" measureGroup="fact_lab_results" count="0"/>
    <cacheHierarchy uniqueName="[Measures].[Low HDL Percentage among Within Range LD]" caption="Low HDL Percentage among Within Range LD" measure="1" displayFolder="" measureGroup="fact_lab_results" count="0"/>
    <cacheHierarchy uniqueName="[Measures].[Patients with both tests]" caption="Patients with both tests" measure="1" displayFolder="" measureGroup="fact_lab_results" count="0"/>
    <cacheHierarchy uniqueName="[Measures].[Patients with Low HDL]" caption="Patients with Low HDL" measure="1" displayFolder="" measureGroup="fact_lab_results" count="0"/>
    <cacheHierarchy uniqueName="[Measures].[Low HDL Percentage]" caption="Low HDL Percentage" measure="1" displayFolder="" measureGroup="fact_lab_results" count="0"/>
    <cacheHierarchy uniqueName="[Measures].[High ALT Patients]" caption="High ALT Patients" measure="1" displayFolder="" measureGroup="fact_lab_results" count="0"/>
    <cacheHierarchy uniqueName="[Measures].[High ALT %]" caption="High ALT %" measure="1" displayFolder="" measureGroup="fact_lab_results" count="0"/>
    <cacheHierarchy uniqueName="[Measures].[__XL_Count fact_lab_results]" caption="__XL_Count fact_lab_results" measure="1" displayFolder="" measureGroup="fact_lab_results" count="0" hidden="1"/>
    <cacheHierarchy uniqueName="[Measures].[__XL_Count dim_patients]" caption="__XL_Count dim_patients" measure="1" displayFolder="" measureGroup="dim_patients" count="0" hidden="1"/>
    <cacheHierarchy uniqueName="[Measures].[__XL_Count dim_reference_intervals]" caption="__XL_Count dim_reference_intervals" measure="1" displayFolder="" measureGroup="dim_reference_intervals" count="0" hidden="1"/>
    <cacheHierarchy uniqueName="[Measures].[__No measures defined]" caption="__No measures defined" measure="1" displayFolder="" count="0" hidden="1"/>
    <cacheHierarchy uniqueName="[Measures].[Sum of Age]" caption="Sum of Age" measure="1" displayFolder="" measureGroup="dim_patients"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dim_patients" count="0" hidden="1">
      <extLst>
        <ext xmlns:x15="http://schemas.microsoft.com/office/spreadsheetml/2010/11/main" uri="{B97F6D7D-B522-45F9-BDA1-12C45D357490}">
          <x15:cacheHierarchy aggregatedColumn="4"/>
        </ext>
      </extLst>
    </cacheHierarchy>
    <cacheHierarchy uniqueName="[Measures].[Count of Value]" caption="Count of Value" measure="1" displayFolder="" measureGroup="fact_lab_results"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388995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349C08-DC47-4F3B-9FAB-0B4306490611}" name="PivotTable5" cacheId="6" applyNumberFormats="0" applyBorderFormats="0" applyFontFormats="0" applyPatternFormats="0" applyAlignmentFormats="0" applyWidthHeightFormats="1" dataCaption="Values" tag="93a40218-0b0a-4212-a5b1-0676edc915f3" updatedVersion="8" minRefreshableVersion="3" itemPrintTitles="1" createdVersion="8" indent="0" outline="1" outlineData="1" multipleFieldFilters="0" colHeaderCaption="Gender">
  <location ref="D3:G7"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3">
    <i>
      <x/>
    </i>
    <i>
      <x v="1"/>
    </i>
    <i t="grand">
      <x/>
    </i>
  </rowItems>
  <colFields count="1">
    <field x="2"/>
  </colFields>
  <colItems count="3">
    <i>
      <x/>
    </i>
    <i>
      <x v="1"/>
    </i>
    <i t="grand">
      <x/>
    </i>
  </colItems>
  <dataFields count="1">
    <dataField fld="1"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5EF88-401A-4B50-86C0-827E0187E449}" name="PivotTable4" cacheId="5" applyNumberFormats="0" applyBorderFormats="0" applyFontFormats="0" applyPatternFormats="0" applyAlignmentFormats="0" applyWidthHeightFormats="1" dataCaption="Values" tag="8958d744-e81a-4f2c-9297-7525c696f30e" updatedVersion="8" minRefreshableVersion="3" useAutoFormatting="1" itemPrintTitles="1" createdVersion="8" indent="0" outline="1" outlineData="1" multipleFieldFilters="0" colHeaderCaption="Gender">
  <location ref="D9:G17" firstHeaderRow="1" firstDataRow="2"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s>
  <rowFields count="1">
    <field x="1"/>
  </rowFields>
  <rowItems count="7">
    <i>
      <x/>
    </i>
    <i>
      <x v="1"/>
    </i>
    <i>
      <x v="2"/>
    </i>
    <i>
      <x v="3"/>
    </i>
    <i>
      <x v="4"/>
    </i>
    <i>
      <x v="5"/>
    </i>
    <i t="grand">
      <x/>
    </i>
  </rowItems>
  <colFields count="1">
    <field x="2"/>
  </colFields>
  <colItems count="3">
    <i>
      <x/>
    </i>
    <i>
      <x v="1"/>
    </i>
    <i t="grand">
      <x/>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ab_results]"/>
        <x15:activeTabTopLevelEntity name="[dim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86035-6E07-4320-B184-F4ADA89E8743}" name="PivotTable3" cacheId="4" applyNumberFormats="0" applyBorderFormats="0" applyFontFormats="0" applyPatternFormats="0" applyAlignmentFormats="0" applyWidthHeightFormats="1" dataCaption="Values" tag="0ae5d816-dbd3-45e1-83a1-373316cebb9f" updatedVersion="8" minRefreshableVersion="3" useAutoFormatting="1" itemPrintTitles="1" createdVersion="8" indent="0" outline="1" outlineData="1" multipleFieldFilters="0">
  <location ref="A9:B37" firstHeaderRow="1" firstDataRow="1" firstDataCol="1"/>
  <pivotFields count="2">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fld="1"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EF7748-B6EA-4A94-BBAE-CEDA903CA351}" name="PivotTable2" cacheId="3" applyNumberFormats="0" applyBorderFormats="0" applyFontFormats="0" applyPatternFormats="0" applyAlignmentFormats="0" applyWidthHeightFormats="1" dataCaption="Values" tag="e4c677d7-168d-4f8e-b894-4780d1ea3045" updatedVersion="8" minRefreshableVersion="3" useAutoFormatting="1" itemPrintTitles="1" createdVersion="8" indent="0" outline="1" outlineData="1" multipleFieldFilters="0">
  <location ref="A3:B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AC9409-CC1C-4C52-84EB-49180A7E8228}" name="PivotTable1" cacheId="0" applyNumberFormats="0" applyBorderFormats="0" applyFontFormats="0" applyPatternFormats="0" applyAlignmentFormats="0" applyWidthHeightFormats="1" dataCaption="Values" tag="3445e1b8-c4cd-49d5-a2d7-556a3928cbed" updatedVersion="8" minRefreshableVersion="3" useAutoFormatting="1" itemPrintTitles="1" createdVersion="8" indent="0" outline="1" outlineData="1" multipleFieldFilters="0">
  <location ref="D29:E3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name="Values analysed" fld="1" subtotal="count" baseField="0" baseItem="1"/>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Values analys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2C448B-02E3-4464-9B35-96F4891AA9C4}" name="PivotTable7" cacheId="1" applyNumberFormats="0" applyBorderFormats="0" applyFontFormats="0" applyPatternFormats="0" applyAlignmentFormats="0" applyWidthHeightFormats="1" dataCaption="Values" tag="0e9f4c59-6cd9-49ed-aafe-082cba87a857" updatedVersion="8" minRefreshableVersion="3" useAutoFormatting="1" itemPrintTitles="1" createdVersion="8" indent="0" outline="1" outlineData="1" multipleFieldFilters="0">
  <location ref="D20:E27" firstHeaderRow="1" firstDataRow="1" firstDataCol="1"/>
  <pivotFields count="3">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7">
    <i>
      <x/>
    </i>
    <i r="1">
      <x/>
    </i>
    <i r="1">
      <x v="1"/>
    </i>
    <i>
      <x v="1"/>
    </i>
    <i r="1">
      <x/>
    </i>
    <i r="1">
      <x v="1"/>
    </i>
    <i t="grand">
      <x/>
    </i>
  </rowItems>
  <colItems count="1">
    <i/>
  </colItems>
  <dataFields count="1">
    <dataField name="Tested patients" fld="2"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ested patients"/>
    <pivotHierarchy dragToRow="0" dragToCol="0" dragToPage="0" dragToData="1"/>
    <pivotHierarchy dragToRow="0" dragToCol="0" dragToPage="0" dragToData="1"/>
    <pivotHierarchy dragToRow="0" dragToCol="0" dragToPage="0" dragToData="1" caption="Low Haemoglobi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ab_results]"/>
        <x15:activeTabTopLevelEntity name="[dim_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6A5E86-33F9-46D1-9E95-764D048388D2}" name="PivotTable4" cacheId="8" applyNumberFormats="0" applyBorderFormats="0" applyFontFormats="0" applyPatternFormats="0" applyAlignmentFormats="0" applyWidthHeightFormats="1" dataCaption="Values" tag="cac86781-ed72-4b62-a1b7-fa7fce2fe0de" updatedVersion="8" minRefreshableVersion="3" useAutoFormatting="1" subtotalHiddenItems="1" colGrandTotals="0" itemPrintTitles="1" createdVersion="8" indent="0" outline="1" outlineData="1" multipleFieldFilters="0" colHeaderCaption="Age">
  <location ref="A11:G16" firstHeaderRow="1" firstDataRow="3"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2">
    <field x="1"/>
    <field x="-2"/>
  </colFields>
  <colItems count="6">
    <i>
      <x/>
      <x/>
    </i>
    <i r="1" i="1">
      <x v="1"/>
    </i>
    <i r="1" i="2">
      <x v="2"/>
    </i>
    <i>
      <x v="1"/>
      <x/>
    </i>
    <i r="1" i="1">
      <x v="1"/>
    </i>
    <i r="1" i="2">
      <x v="2"/>
    </i>
  </colItems>
  <dataFields count="3">
    <dataField name="Tested Patients" fld="2" subtotal="count" baseField="0" baseItem="1"/>
    <dataField fld="3" subtotal="count" baseField="0" baseItem="0"/>
    <dataField fld="4"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ested Patien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A3D853-7DDD-406B-9AB6-DA201080AADA}" name="PivotTable3" cacheId="7" applyNumberFormats="0" applyBorderFormats="0" applyFontFormats="0" applyPatternFormats="0" applyAlignmentFormats="0" applyWidthHeightFormats="1" dataCaption="Values" tag="ea05447f-a162-4edd-81df-4efdab4ed8b7" updatedVersion="8" minRefreshableVersion="3" useAutoFormatting="1" colGrandTotals="0" itemPrintTitles="1" createdVersion="8" indent="0" outline="1" outlineData="1" multipleFieldFilters="0" colHeaderCaption="Age">
  <location ref="A3:G8" firstHeaderRow="1" firstDataRow="3"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2">
    <field x="1"/>
    <field x="-2"/>
  </colFields>
  <colItems count="6">
    <i>
      <x/>
      <x/>
    </i>
    <i r="1" i="1">
      <x v="1"/>
    </i>
    <i r="1" i="2">
      <x v="2"/>
    </i>
    <i>
      <x v="1"/>
      <x/>
    </i>
    <i r="1" i="1">
      <x v="1"/>
    </i>
    <i r="1" i="2">
      <x v="2"/>
    </i>
  </colItems>
  <dataFields count="3">
    <dataField name="Tested Patients" fld="4" subtotal="count" baseField="0" baseItem="0"/>
    <dataField fld="2" subtotal="count" baseField="0" baseItem="0"/>
    <dataField fld="3"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ested Patien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B13684-8903-4924-8F75-3FC43FC62B44}" name="PivotTable7" cacheId="10" applyNumberFormats="0" applyBorderFormats="0" applyFontFormats="0" applyPatternFormats="0" applyAlignmentFormats="0" applyWidthHeightFormats="1" dataCaption="Values" tag="56e97c1e-f868-421a-a854-62f50076fb2f" updatedVersion="8" minRefreshableVersion="3" useAutoFormatting="1" subtotalHiddenItems="1" colGrandTotals="0" itemPrintTitles="1" createdVersion="8" indent="0" outline="1" outlineData="1" multipleFieldFilters="0" colHeaderCaption="Age">
  <location ref="A28:D31"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Fields count="1">
    <field x="-2"/>
  </colFields>
  <colItems count="3">
    <i>
      <x/>
    </i>
    <i i="1">
      <x v="1"/>
    </i>
    <i i="2">
      <x v="2"/>
    </i>
  </colItems>
  <dataFields count="3">
    <dataField fld="0" subtotal="count" baseField="0" baseItem="0"/>
    <dataField fld="1" subtotal="count" baseField="0" baseItem="0"/>
    <dataField name="Low HDL %" fld="2"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Low HDL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FDBEE2-1ED9-4648-9611-9D4CB9967BB0}" name="PivotTable6" cacheId="9" applyNumberFormats="0" applyBorderFormats="0" applyFontFormats="0" applyPatternFormats="0" applyAlignmentFormats="0" applyWidthHeightFormats="1" dataCaption="Values" tag="2f4b5766-0d14-4036-94e8-b0529dd54569" updatedVersion="8" minRefreshableVersion="3" useAutoFormatting="1" subtotalHiddenItems="1" colGrandTotals="0" itemPrintTitles="1" createdVersion="8" indent="0" outline="1" outlineData="1" multipleFieldFilters="0" colHeaderCaption="Age">
  <location ref="A19:G24" firstHeaderRow="1" firstDataRow="3" firstDataCol="1"/>
  <pivotFields count="5">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t="grand">
      <x/>
    </i>
  </rowItems>
  <colFields count="2">
    <field x="1"/>
    <field x="-2"/>
  </colFields>
  <colItems count="6">
    <i>
      <x/>
      <x/>
    </i>
    <i r="1" i="1">
      <x v="1"/>
    </i>
    <i r="1" i="2">
      <x v="2"/>
    </i>
    <i>
      <x v="1"/>
      <x/>
    </i>
    <i r="1" i="1">
      <x v="1"/>
    </i>
    <i r="1" i="2">
      <x v="2"/>
    </i>
  </colItems>
  <dataFields count="3">
    <dataField name="Tested Patients" fld="2" subtotal="count" baseField="0" baseItem="0"/>
    <dataField fld="3" subtotal="count" baseField="0" baseItem="0"/>
    <dataField fld="4"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ested Patient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1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F9F1F0-DCCC-44FF-BD87-1791AAC857D0}"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name="High LDL by gender and age group" fld="2" subtotal="count" baseField="0" baseItem="1"/>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High LDL by gender and age group"/>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169BBD-ECAC-4502-B646-3D4FECBA8E3E}"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3"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fld="2"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B09BF3-9B8C-4368-B24F-DE84EF9A2E5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D16"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Fields count="1">
    <field x="1"/>
  </colFields>
  <colItems count="3">
    <i>
      <x/>
    </i>
    <i>
      <x v="1"/>
    </i>
    <i t="grand">
      <x/>
    </i>
  </colItems>
  <dataFields count="1">
    <dataField fld="2"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A875FE-EFF3-4044-9C3C-485D7C685EB4}" name="PivotTable9" cacheId="2" applyNumberFormats="0" applyBorderFormats="0" applyFontFormats="0" applyPatternFormats="0" applyAlignmentFormats="0" applyWidthHeightFormats="1" dataCaption="Values" tag="20723db9-11a4-40d8-ad9d-1016167930ec" updatedVersion="8" minRefreshableVersion="3" useAutoFormatting="1" itemPrintTitles="1" createdVersion="8" indent="0" outline="1" outlineData="1" multipleFieldFilters="0">
  <location ref="A3:M12" firstHeaderRow="1" firstDataRow="3" firstDataCol="1"/>
  <pivotFields count="7">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7">
    <i>
      <x/>
    </i>
    <i r="1">
      <x/>
    </i>
    <i r="1">
      <x v="1"/>
    </i>
    <i>
      <x v="1"/>
    </i>
    <i r="1">
      <x/>
    </i>
    <i r="1">
      <x v="1"/>
    </i>
    <i t="grand">
      <x/>
    </i>
  </rowItems>
  <colFields count="2">
    <field x="2"/>
    <field x="-2"/>
  </colFields>
  <colItems count="12">
    <i>
      <x/>
      <x/>
    </i>
    <i r="1" i="1">
      <x v="1"/>
    </i>
    <i r="1" i="2">
      <x v="2"/>
    </i>
    <i r="1" i="3">
      <x v="3"/>
    </i>
    <i>
      <x v="1"/>
      <x/>
    </i>
    <i r="1" i="1">
      <x v="1"/>
    </i>
    <i r="1" i="2">
      <x v="2"/>
    </i>
    <i r="1" i="3">
      <x v="3"/>
    </i>
    <i t="grand">
      <x/>
    </i>
    <i t="grand" i="1">
      <x/>
    </i>
    <i t="grand" i="2">
      <x/>
    </i>
    <i t="grand" i="3">
      <x/>
    </i>
  </colItems>
  <dataFields count="4">
    <dataField fld="3" subtotal="count" baseField="0" baseItem="0"/>
    <dataField fld="4" subtotal="count" baseField="0" baseItem="0"/>
    <dataField fld="5" subtotal="count" baseField="0" baseItem="0"/>
    <dataField fld="6" subtotal="count" baseField="0" baseItem="0"/>
  </dataFields>
  <pivotHierarchies count="4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12"/>
  </rowHierarchiesUsage>
  <colHierarchiesUsage count="2">
    <colHierarchyUsage hierarchyUsage="1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atients]"/>
        <x15:activeTabTopLevelEntity name="[fact_lab_resul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14E5E71-277C-4027-931D-B112B513F076}" autoFormatId="16" applyNumberFormats="0" applyBorderFormats="0" applyFontFormats="0" applyPatternFormats="0" applyAlignmentFormats="0" applyWidthHeightFormats="0">
  <queryTableRefresh nextId="6">
    <queryTableFields count="4">
      <queryTableField id="1" name="Patient_ID" tableColumnId="1"/>
      <queryTableField id="2" name="Metric" tableColumnId="2"/>
      <queryTableField id="3" name="Value" tableColumnId="3"/>
      <queryTableField id="5" name="Result_Status"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088702BC-68F8-4D4F-8986-050C6A93B033}" autoFormatId="16" applyNumberFormats="0" applyBorderFormats="0" applyFontFormats="0" applyPatternFormats="0" applyAlignmentFormats="0" applyWidthHeightFormats="0">
  <queryTableRefresh nextId="8">
    <queryTableFields count="7">
      <queryTableField id="1" name="Metric" tableColumnId="1"/>
      <queryTableField id="2" name="Unit" tableColumnId="2"/>
      <queryTableField id="3" name="Low_Threshold" tableColumnId="3"/>
      <queryTableField id="4" name="Normal_Min" tableColumnId="4"/>
      <queryTableField id="5" name="Normal_Max" tableColumnId="5"/>
      <queryTableField id="6" name="High_Threshold" tableColumnId="6"/>
      <queryTableField id="7" name="Description" tableColumnId="7"/>
    </queryTableFields>
  </queryTableRefresh>
  <extLst>
    <ext xmlns:x15="http://schemas.microsoft.com/office/spreadsheetml/2010/11/main" uri="{883FBD77-0823-4a55-B5E3-86C4891E6966}">
      <x15:queryTable sourceDataName="Query - dim_reference_interva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BE465C7-55A5-4590-93FA-D06BD64383E9}" autoFormatId="16" applyNumberFormats="0" applyBorderFormats="0" applyFontFormats="0" applyPatternFormats="0" applyAlignmentFormats="0" applyWidthHeightFormats="0">
  <queryTableRefresh nextId="19">
    <queryTableFields count="14">
      <queryTableField id="1" name="Patient_ID" tableColumnId="1"/>
      <queryTableField id="2" name="First_Name" tableColumnId="2"/>
      <queryTableField id="3" name="Last_Name" tableColumnId="3"/>
      <queryTableField id="4" name="Age" tableColumnId="4"/>
      <queryTableField id="5" name="Gender" tableColumnId="5"/>
      <queryTableField id="6" name="City" tableColumnId="6"/>
      <queryTableField id="7" name="Address" tableColumnId="7"/>
      <queryTableField id="8" name="Postal_Code" tableColumnId="8"/>
      <queryTableField id="9" name="Phone" tableColumnId="9"/>
      <queryTableField id="10" name="Email" tableColumnId="10"/>
      <queryTableField id="12" name="Age_Decade_Start" tableColumnId="12"/>
      <queryTableField id="13" name="Age_Decade" tableColumnId="13"/>
      <queryTableField id="14" name="Age_Group" tableColumnId="14"/>
      <queryTableField id="18" name="LDL_Group"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5ABF791-D1EA-4F1E-87DB-38FC008DCDE0}" sourceName="[dim_patients].[Age_Group]">
  <pivotTables>
    <pivotTable tabId="11" name="PivotTable9"/>
  </pivotTables>
  <data>
    <olap pivotCacheId="38899551">
      <levels count="2">
        <level uniqueName="[dim_patients].[Age_Group].[(All)]" sourceCaption="(All)" count="0"/>
        <level uniqueName="[dim_patients].[Age_Group].[Age_Group]" sourceCaption="Age_Group" count="2">
          <ranges>
            <range startItem="0">
              <i n="[dim_patients].[Age_Group].&amp;[&lt;50]" c="&lt;50"/>
              <i n="[dim_patients].[Age_Group].&amp;[50+]" c="50+"/>
            </range>
          </ranges>
        </level>
      </levels>
      <selections count="1">
        <selection n="[dim_patients].[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F9717D4-06BA-47CB-9611-A7169BD419A7}" sourceName="[dim_patients].[Gender]">
  <pivotTables>
    <pivotTable tabId="11" name="PivotTable9"/>
  </pivotTables>
  <data>
    <olap pivotCacheId="38899551">
      <levels count="2">
        <level uniqueName="[dim_patients].[Gender].[(All)]" sourceCaption="(All)" count="0"/>
        <level uniqueName="[dim_patients].[Gender].[Gender]" sourceCaption="Gender" count="2">
          <ranges>
            <range startItem="0">
              <i n="[dim_patients].[Gender].&amp;[F]" c="F"/>
              <i n="[dim_patients].[Gender].&amp;[M]" c="M"/>
            </range>
          </ranges>
        </level>
      </levels>
      <selections count="1">
        <selection n="[dim_patient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329BEA8-2ECC-4673-803A-36DC15EFB29C}" sourceName="[dim_patients].[Gender]">
  <pivotTables>
    <pivotTable tabId="17" name="PivotTable3"/>
    <pivotTable tabId="17" name="PivotTable4"/>
    <pivotTable tabId="17" name="PivotTable6"/>
    <pivotTable tabId="17" name="PivotTable7"/>
    <pivotTable tabId="18" name="PivotTable1"/>
    <pivotTable tabId="18" name="PivotTable2"/>
    <pivotTable tabId="18" name="PivotTable3"/>
  </pivotTables>
  <data>
    <olap pivotCacheId="70060143">
      <levels count="2">
        <level uniqueName="[dim_patients].[Gender].[(All)]" sourceCaption="(All)" count="0"/>
        <level uniqueName="[dim_patients].[Gender].[Gender]" sourceCaption="Gender" count="2">
          <ranges>
            <range startItem="0">
              <i n="[dim_patients].[Gender].&amp;[F]" c="F"/>
              <i n="[dim_patients].[Gender].&amp;[M]" c="M"/>
            </range>
          </ranges>
        </level>
      </levels>
      <selections count="1">
        <selection n="[dim_patients].[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05A1AA9B-FB5A-4E4A-98F9-AAFD38CDF057}" sourceName="[dim_patients].[Age_Group]">
  <pivotTables>
    <pivotTable tabId="17" name="PivotTable3"/>
    <pivotTable tabId="17" name="PivotTable4"/>
    <pivotTable tabId="17" name="PivotTable6"/>
    <pivotTable tabId="17" name="PivotTable7"/>
    <pivotTable tabId="18" name="PivotTable1"/>
    <pivotTable tabId="18" name="PivotTable2"/>
    <pivotTable tabId="18" name="PivotTable3"/>
  </pivotTables>
  <data>
    <olap pivotCacheId="70060143">
      <levels count="2">
        <level uniqueName="[dim_patients].[Age_Group].[(All)]" sourceCaption="(All)" count="0"/>
        <level uniqueName="[dim_patients].[Age_Group].[Age_Group]" sourceCaption="Age_Group" count="2">
          <ranges>
            <range startItem="0">
              <i n="[dim_patients].[Age_Group].&amp;[&lt;50]" c="&lt;50"/>
              <i n="[dim_patients].[Age_Group].&amp;[50+]" c="50+"/>
            </range>
          </ranges>
        </level>
      </levels>
      <selections count="1">
        <selection n="[dim_patients].[Age_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EBC593A-149F-4D46-8822-C45DE062177B}" cache="Slicer_Gender1" caption="Gender" level="1" rowHeight="251883"/>
  <slicer name="Age_Group 1" xr10:uid="{5E1DB24F-562D-4AAB-99D9-994DF5A58C4E}" cache="Slicer_Age_Group1" caption="Age_Group"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1580F760-E277-43AC-A435-2CAB2E0281A7}" cache="Slicer_Gender1" caption="Gender" level="1" rowHeight="251883"/>
  <slicer name="Age_Group 2" xr10:uid="{8B2B26EE-7BB2-4B78-9839-1EB9DB1CC0E4}" cache="Slicer_Age_Group1" caption="Age_Group"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D384666E-C518-46EA-824E-2C001AB6C0BD}" cache="Slicer_Age_Group" caption="Age_Group" level="1" rowHeight="251883"/>
  <slicer name="Gender" xr10:uid="{D076A3E7-A14C-4659-9A69-858C15C08D62}" cache="Slicer_Gender" caption="Gender"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2B3E09-AD68-4D36-A5D5-DE79939F7B79}" name="fact_lab_results" displayName="fact_lab_results" ref="A1:D365" tableType="queryTable" totalsRowShown="0">
  <autoFilter ref="A1:D365" xr:uid="{C12B3E09-AD68-4D36-A5D5-DE79939F7B79}"/>
  <tableColumns count="4">
    <tableColumn id="1" xr3:uid="{8B3D72AB-06E6-4EDD-B446-53D32E885295}" uniqueName="1" name="Patient_ID" queryTableFieldId="1" dataDxfId="20"/>
    <tableColumn id="2" xr3:uid="{9831501F-52C5-4275-9500-188393D15F1F}" uniqueName="2" name="Metric" queryTableFieldId="2" dataDxfId="19"/>
    <tableColumn id="3" xr3:uid="{85D6177A-28C6-48C9-A435-639019EA7ADB}" uniqueName="3" name="Value" queryTableFieldId="3"/>
    <tableColumn id="5" xr3:uid="{1C8C3E17-8BE3-4F01-B455-2C9FA57AA7E9}" uniqueName="5" name="Result_Status" queryTableFieldId="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A8FC0B-395D-480A-83EC-A3D0E0CA4BC7}" name="Table2" displayName="Table2" ref="A3:F16" totalsRowShown="0" headerRowDxfId="18">
  <autoFilter ref="A3:F16" xr:uid="{76A8FC0B-395D-480A-83EC-A3D0E0CA4BC7}"/>
  <tableColumns count="6">
    <tableColumn id="1" xr3:uid="{E229BAA4-64C4-4D89-ABFD-4D405D0AE2FF}" name="Test">
      <calculatedColumnFormula>dim_reference_intervals!A2</calculatedColumnFormula>
    </tableColumn>
    <tableColumn id="2" xr3:uid="{10071B06-346C-4E53-B466-F6A5C8C27F28}" name="Unit">
      <calculatedColumnFormula>dim_reference_intervals!B2</calculatedColumnFormula>
    </tableColumn>
    <tableColumn id="3" xr3:uid="{87351F71-5B8D-4DC4-AFBE-73DAD4B69091}" name="Enter result" dataDxfId="17"/>
    <tableColumn id="4" xr3:uid="{BF0F9E63-AE46-4852-B50B-4B96ABDCDE1A}" name="Lower limit">
      <calculatedColumnFormula>IF(dim_reference_intervals!D2="","",dim_reference_intervals!D2)</calculatedColumnFormula>
    </tableColumn>
    <tableColumn id="5" xr3:uid="{38EC4E40-66DA-4731-8F89-D9F5A6330A6A}" name="Upper limit">
      <calculatedColumnFormula>IF(dim_reference_intervals!E2="","",dim_reference_intervals!E2)</calculatedColumnFormula>
    </tableColumn>
    <tableColumn id="6" xr3:uid="{1B91578B-57DA-45AB-8C7B-834E300FB9B7}" name="Assessment">
      <calculatedColumnFormula>IF(C4="","Enter result",
    IF(NOT(ISNUMBER(C4)),"Check input",
        IF(C4&lt;0,"Check input",
            IF(D4="","Check reference",
                IF(A4="HDL",
                    IF(C4&lt;D4,"Low","Not low"),
                    IF(E4="","Check reference",
                        IF(D4&gt;E4,"Check reference",
                            IF(C4&lt;D4,"Low",
                                IF(C4&gt;E4,"High","Within range")
                            )
                        )
                    )
                )
            )
        )
    )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5E6D1C-D1EB-4A74-AF7E-8489818484E2}" name="dim_reference_intervals" displayName="dim_reference_intervals" ref="A1:G14" tableType="queryTable" totalsRowShown="0">
  <autoFilter ref="A1:G14" xr:uid="{025E6D1C-D1EB-4A74-AF7E-8489818484E2}"/>
  <tableColumns count="7">
    <tableColumn id="1" xr3:uid="{889D3AF3-351F-49B4-90E9-054D7F7C8655}" uniqueName="1" name="Metric" queryTableFieldId="1" dataDxfId="16"/>
    <tableColumn id="2" xr3:uid="{F26E03D2-37EA-47C7-8F76-CE21ECB450B2}" uniqueName="2" name="Unit" queryTableFieldId="2" dataDxfId="15"/>
    <tableColumn id="3" xr3:uid="{E7FFC2F1-64BD-40B2-9AA5-23D0206040EA}" uniqueName="3" name="Low_Threshold" queryTableFieldId="3"/>
    <tableColumn id="4" xr3:uid="{4437FAAF-FDB6-40F4-B4C2-BC58070E1191}" uniqueName="4" name="Normal_Min" queryTableFieldId="4"/>
    <tableColumn id="5" xr3:uid="{AF8CFFA6-D9C4-41AF-BA3C-5F2DCEFE891A}" uniqueName="5" name="Normal_Max" queryTableFieldId="5"/>
    <tableColumn id="6" xr3:uid="{63B2E963-3D3A-4E6B-AE55-C8578D8748AC}" uniqueName="6" name="High_Threshold" queryTableFieldId="6"/>
    <tableColumn id="7" xr3:uid="{938FC9D4-2D9F-4656-8674-E5398FE39AFC}" uniqueName="7" name="Description" queryTableFieldId="7"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71812B-E711-4CFB-AC6B-3F09327A81A0}" name="dim_patients" displayName="dim_patients" ref="A1:N29" tableType="queryTable" totalsRowShown="0">
  <autoFilter ref="A1:N29" xr:uid="{2F71812B-E711-4CFB-AC6B-3F09327A81A0}"/>
  <tableColumns count="14">
    <tableColumn id="1" xr3:uid="{ED6E9601-0A31-4897-8883-695F86CE1059}" uniqueName="1" name="Patient_ID" queryTableFieldId="1" dataDxfId="13"/>
    <tableColumn id="2" xr3:uid="{D91A9593-9769-454F-A549-DBB686BC804D}" uniqueName="2" name="First_Name" queryTableFieldId="2" dataDxfId="12"/>
    <tableColumn id="3" xr3:uid="{0EE0530E-C78E-4601-A56F-07156BF066D3}" uniqueName="3" name="Last_Name" queryTableFieldId="3" dataDxfId="11"/>
    <tableColumn id="4" xr3:uid="{4194637C-5E50-4D76-97E5-047EB911489B}" uniqueName="4" name="Age" queryTableFieldId="4"/>
    <tableColumn id="5" xr3:uid="{3C0D396A-E6B5-4874-86C8-734640F4CF7B}" uniqueName="5" name="Gender" queryTableFieldId="5" dataDxfId="10"/>
    <tableColumn id="6" xr3:uid="{ADC2FBC7-5082-459D-AD3A-C0AF1B03890D}" uniqueName="6" name="City" queryTableFieldId="6" dataDxfId="9"/>
    <tableColumn id="7" xr3:uid="{5F401880-1EB3-4CB8-90EA-7EE4D978E2BB}" uniqueName="7" name="Address" queryTableFieldId="7" dataDxfId="8"/>
    <tableColumn id="8" xr3:uid="{CF04C218-3EE4-4D92-BC5A-BF271E0C9598}" uniqueName="8" name="Postal_Code" queryTableFieldId="8"/>
    <tableColumn id="9" xr3:uid="{45A7D7BC-E743-483F-A60A-FF8D63A11075}" uniqueName="9" name="Phone" queryTableFieldId="9" dataDxfId="7"/>
    <tableColumn id="10" xr3:uid="{9C6561BF-2A0F-4834-BE91-268C4FCCE44F}" uniqueName="10" name="Email" queryTableFieldId="10" dataDxfId="6"/>
    <tableColumn id="12" xr3:uid="{57CB44D3-C7F4-44A7-8D65-97EDFBA0140A}" uniqueName="12" name="Age_Decade_Start" queryTableFieldId="12"/>
    <tableColumn id="13" xr3:uid="{AD8EEB2F-AC33-4DBA-BD24-15E864919B76}" uniqueName="13" name="Age_Decade" queryTableFieldId="13"/>
    <tableColumn id="14" xr3:uid="{63194E96-0E62-4E45-9650-73966C36C860}" uniqueName="14" name="Age_Group" queryTableFieldId="14"/>
    <tableColumn id="18" xr3:uid="{C41994D1-E06B-4E7B-8824-50A20BF98A42}" uniqueName="18" name="LDL_Group"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C26E-0382-4158-89B6-EDB78F1BE4F0}">
  <sheetPr>
    <pageSetUpPr fitToPage="1"/>
  </sheetPr>
  <dimension ref="A1:B7"/>
  <sheetViews>
    <sheetView tabSelected="1" topLeftCell="A3" workbookViewId="0">
      <selection activeCell="A6" sqref="A6"/>
    </sheetView>
  </sheetViews>
  <sheetFormatPr defaultRowHeight="14.5" x14ac:dyDescent="0.35"/>
  <cols>
    <col min="1" max="1" width="17.81640625" style="2" customWidth="1"/>
    <col min="2" max="2" width="149.26953125" style="7" customWidth="1"/>
  </cols>
  <sheetData>
    <row r="1" spans="1:2" ht="33" customHeight="1" x14ac:dyDescent="0.35">
      <c r="A1" s="10" t="s">
        <v>269</v>
      </c>
      <c r="B1" s="6" t="s">
        <v>209</v>
      </c>
    </row>
    <row r="2" spans="1:2" ht="98.5" customHeight="1" x14ac:dyDescent="0.35">
      <c r="A2" s="10" t="s">
        <v>270</v>
      </c>
      <c r="B2" s="7" t="s">
        <v>286</v>
      </c>
    </row>
    <row r="3" spans="1:2" ht="64" customHeight="1" x14ac:dyDescent="0.35">
      <c r="A3" s="10" t="s">
        <v>271</v>
      </c>
      <c r="B3" s="7" t="s">
        <v>285</v>
      </c>
    </row>
    <row r="4" spans="1:2" ht="78.5" customHeight="1" x14ac:dyDescent="0.35">
      <c r="A4" s="10" t="s">
        <v>272</v>
      </c>
      <c r="B4" s="7" t="s">
        <v>278</v>
      </c>
    </row>
    <row r="5" spans="1:2" ht="61" customHeight="1" x14ac:dyDescent="0.35">
      <c r="A5" s="10" t="s">
        <v>273</v>
      </c>
      <c r="B5" s="7" t="s">
        <v>287</v>
      </c>
    </row>
    <row r="6" spans="1:2" ht="95" customHeight="1" x14ac:dyDescent="0.35">
      <c r="A6" s="10" t="s">
        <v>275</v>
      </c>
      <c r="B6" s="7" t="s">
        <v>288</v>
      </c>
    </row>
    <row r="7" spans="1:2" ht="71" customHeight="1" x14ac:dyDescent="0.35">
      <c r="A7" s="10" t="s">
        <v>276</v>
      </c>
      <c r="B7" s="7" t="s">
        <v>277</v>
      </c>
    </row>
  </sheetData>
  <pageMargins left="0.7" right="0.7" top="0.75" bottom="0.75" header="0.3" footer="0.3"/>
  <pageSetup paperSize="9" scale="7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7EC1-252A-4E5B-A3E9-2B2B330579AC}">
  <dimension ref="A3:G37"/>
  <sheetViews>
    <sheetView topLeftCell="A9" workbookViewId="0">
      <selection activeCell="D11" sqref="D11"/>
    </sheetView>
  </sheetViews>
  <sheetFormatPr defaultRowHeight="14.5" x14ac:dyDescent="0.35"/>
  <cols>
    <col min="1" max="1" width="12.453125" bestFit="1" customWidth="1"/>
    <col min="2" max="2" width="12.26953125" bestFit="1" customWidth="1"/>
    <col min="4" max="4" width="12.453125" bestFit="1" customWidth="1"/>
    <col min="5" max="5" width="9.1796875" bestFit="1" customWidth="1"/>
    <col min="6" max="6" width="2.81640625" bestFit="1" customWidth="1"/>
    <col min="7" max="7" width="10.36328125" bestFit="1" customWidth="1"/>
  </cols>
  <sheetData>
    <row r="3" spans="1:7" x14ac:dyDescent="0.35">
      <c r="A3" s="1" t="s">
        <v>234</v>
      </c>
      <c r="B3" t="s">
        <v>237</v>
      </c>
      <c r="D3" s="1" t="s">
        <v>237</v>
      </c>
      <c r="E3" s="1" t="s">
        <v>45</v>
      </c>
    </row>
    <row r="4" spans="1:7" x14ac:dyDescent="0.35">
      <c r="A4" s="2" t="s">
        <v>47</v>
      </c>
      <c r="B4" s="3">
        <v>14</v>
      </c>
      <c r="D4" s="1" t="s">
        <v>234</v>
      </c>
      <c r="E4" t="s">
        <v>47</v>
      </c>
      <c r="F4" t="s">
        <v>46</v>
      </c>
      <c r="G4" t="s">
        <v>235</v>
      </c>
    </row>
    <row r="5" spans="1:7" x14ac:dyDescent="0.35">
      <c r="A5" s="2" t="s">
        <v>46</v>
      </c>
      <c r="B5" s="3">
        <v>14</v>
      </c>
      <c r="D5" s="2" t="s">
        <v>250</v>
      </c>
      <c r="E5" s="3">
        <v>9</v>
      </c>
      <c r="F5" s="3">
        <v>5</v>
      </c>
      <c r="G5" s="3">
        <v>14</v>
      </c>
    </row>
    <row r="6" spans="1:7" x14ac:dyDescent="0.35">
      <c r="A6" s="2" t="s">
        <v>235</v>
      </c>
      <c r="B6" s="3">
        <v>28</v>
      </c>
      <c r="D6" s="2" t="s">
        <v>247</v>
      </c>
      <c r="E6" s="3">
        <v>5</v>
      </c>
      <c r="F6" s="3">
        <v>9</v>
      </c>
      <c r="G6" s="3">
        <v>14</v>
      </c>
    </row>
    <row r="7" spans="1:7" x14ac:dyDescent="0.35">
      <c r="D7" s="2" t="s">
        <v>235</v>
      </c>
      <c r="E7" s="3">
        <v>14</v>
      </c>
      <c r="F7" s="3">
        <v>14</v>
      </c>
      <c r="G7" s="3">
        <v>28</v>
      </c>
    </row>
    <row r="9" spans="1:7" x14ac:dyDescent="0.35">
      <c r="A9" s="1" t="s">
        <v>234</v>
      </c>
      <c r="B9" t="s">
        <v>237</v>
      </c>
      <c r="D9" s="1" t="s">
        <v>237</v>
      </c>
      <c r="E9" s="1" t="s">
        <v>45</v>
      </c>
    </row>
    <row r="10" spans="1:7" x14ac:dyDescent="0.35">
      <c r="A10" s="2">
        <v>25</v>
      </c>
      <c r="B10" s="3">
        <v>1</v>
      </c>
      <c r="D10" s="1" t="s">
        <v>234</v>
      </c>
      <c r="E10" t="s">
        <v>47</v>
      </c>
      <c r="F10" t="s">
        <v>46</v>
      </c>
      <c r="G10" t="s">
        <v>235</v>
      </c>
    </row>
    <row r="11" spans="1:7" x14ac:dyDescent="0.35">
      <c r="A11" s="2">
        <v>27</v>
      </c>
      <c r="B11" s="3">
        <v>1</v>
      </c>
      <c r="D11" s="2" t="s">
        <v>242</v>
      </c>
      <c r="E11" s="3">
        <v>2</v>
      </c>
      <c r="F11" s="3">
        <v>1</v>
      </c>
      <c r="G11" s="3">
        <v>3</v>
      </c>
    </row>
    <row r="12" spans="1:7" x14ac:dyDescent="0.35">
      <c r="A12" s="2">
        <v>29</v>
      </c>
      <c r="B12" s="3">
        <v>1</v>
      </c>
      <c r="D12" s="2" t="s">
        <v>244</v>
      </c>
      <c r="E12" s="3">
        <v>4</v>
      </c>
      <c r="F12" s="3">
        <v>1</v>
      </c>
      <c r="G12" s="3">
        <v>5</v>
      </c>
    </row>
    <row r="13" spans="1:7" x14ac:dyDescent="0.35">
      <c r="A13" s="2">
        <v>31</v>
      </c>
      <c r="B13" s="3">
        <v>1</v>
      </c>
      <c r="D13" s="2" t="s">
        <v>240</v>
      </c>
      <c r="E13" s="3">
        <v>3</v>
      </c>
      <c r="F13" s="3">
        <v>3</v>
      </c>
      <c r="G13" s="3">
        <v>6</v>
      </c>
    </row>
    <row r="14" spans="1:7" x14ac:dyDescent="0.35">
      <c r="A14" s="2">
        <v>33</v>
      </c>
      <c r="B14" s="3">
        <v>1</v>
      </c>
      <c r="D14" s="2" t="s">
        <v>243</v>
      </c>
      <c r="E14" s="3">
        <v>2</v>
      </c>
      <c r="F14" s="3">
        <v>3</v>
      </c>
      <c r="G14" s="3">
        <v>5</v>
      </c>
    </row>
    <row r="15" spans="1:7" x14ac:dyDescent="0.35">
      <c r="A15" s="2">
        <v>36</v>
      </c>
      <c r="B15" s="3">
        <v>1</v>
      </c>
      <c r="D15" s="2" t="s">
        <v>241</v>
      </c>
      <c r="E15" s="3">
        <v>1</v>
      </c>
      <c r="F15" s="3">
        <v>5</v>
      </c>
      <c r="G15" s="3">
        <v>6</v>
      </c>
    </row>
    <row r="16" spans="1:7" x14ac:dyDescent="0.35">
      <c r="A16" s="2">
        <v>38</v>
      </c>
      <c r="B16" s="3">
        <v>1</v>
      </c>
      <c r="D16" s="2" t="s">
        <v>245</v>
      </c>
      <c r="E16" s="3">
        <v>2</v>
      </c>
      <c r="F16" s="3">
        <v>1</v>
      </c>
      <c r="G16" s="3">
        <v>3</v>
      </c>
    </row>
    <row r="17" spans="1:7" x14ac:dyDescent="0.35">
      <c r="A17" s="2">
        <v>39</v>
      </c>
      <c r="B17" s="3">
        <v>1</v>
      </c>
      <c r="D17" s="2" t="s">
        <v>235</v>
      </c>
      <c r="E17" s="3">
        <v>14</v>
      </c>
      <c r="F17" s="3">
        <v>14</v>
      </c>
      <c r="G17" s="3">
        <v>28</v>
      </c>
    </row>
    <row r="18" spans="1:7" x14ac:dyDescent="0.35">
      <c r="A18" s="2">
        <v>42</v>
      </c>
      <c r="B18" s="3">
        <v>1</v>
      </c>
    </row>
    <row r="19" spans="1:7" x14ac:dyDescent="0.35">
      <c r="A19" s="2">
        <v>44</v>
      </c>
      <c r="B19" s="3">
        <v>1</v>
      </c>
    </row>
    <row r="20" spans="1:7" x14ac:dyDescent="0.35">
      <c r="A20" s="2">
        <v>45</v>
      </c>
      <c r="B20" s="3">
        <v>1</v>
      </c>
      <c r="D20" s="1" t="s">
        <v>234</v>
      </c>
      <c r="E20" t="s">
        <v>249</v>
      </c>
    </row>
    <row r="21" spans="1:7" x14ac:dyDescent="0.35">
      <c r="A21" s="2">
        <v>47</v>
      </c>
      <c r="B21" s="3">
        <v>1</v>
      </c>
      <c r="D21" s="2" t="s">
        <v>47</v>
      </c>
    </row>
    <row r="22" spans="1:7" x14ac:dyDescent="0.35">
      <c r="A22" s="2">
        <v>48</v>
      </c>
      <c r="B22" s="3">
        <v>1</v>
      </c>
      <c r="D22" s="4" t="s">
        <v>250</v>
      </c>
      <c r="E22" s="3">
        <v>9</v>
      </c>
    </row>
    <row r="23" spans="1:7" x14ac:dyDescent="0.35">
      <c r="A23" s="2">
        <v>49</v>
      </c>
      <c r="B23" s="3">
        <v>1</v>
      </c>
      <c r="D23" s="4" t="s">
        <v>247</v>
      </c>
      <c r="E23" s="3">
        <v>5</v>
      </c>
    </row>
    <row r="24" spans="1:7" x14ac:dyDescent="0.35">
      <c r="A24" s="2">
        <v>51</v>
      </c>
      <c r="B24" s="3">
        <v>1</v>
      </c>
      <c r="D24" s="2" t="s">
        <v>46</v>
      </c>
    </row>
    <row r="25" spans="1:7" x14ac:dyDescent="0.35">
      <c r="A25" s="2">
        <v>53</v>
      </c>
      <c r="B25" s="3">
        <v>1</v>
      </c>
      <c r="D25" s="4" t="s">
        <v>250</v>
      </c>
      <c r="E25" s="3">
        <v>5</v>
      </c>
    </row>
    <row r="26" spans="1:7" x14ac:dyDescent="0.35">
      <c r="A26" s="2">
        <v>55</v>
      </c>
      <c r="B26" s="3">
        <v>1</v>
      </c>
      <c r="D26" s="4" t="s">
        <v>247</v>
      </c>
      <c r="E26" s="3">
        <v>9</v>
      </c>
    </row>
    <row r="27" spans="1:7" x14ac:dyDescent="0.35">
      <c r="A27" s="2">
        <v>58</v>
      </c>
      <c r="B27" s="3">
        <v>2</v>
      </c>
      <c r="D27" s="2" t="s">
        <v>235</v>
      </c>
      <c r="E27" s="3">
        <v>28</v>
      </c>
    </row>
    <row r="28" spans="1:7" x14ac:dyDescent="0.35">
      <c r="A28" s="2">
        <v>60</v>
      </c>
      <c r="B28" s="3">
        <v>1</v>
      </c>
    </row>
    <row r="29" spans="1:7" x14ac:dyDescent="0.35">
      <c r="A29" s="2">
        <v>61</v>
      </c>
      <c r="B29" s="3">
        <v>1</v>
      </c>
      <c r="D29" t="s">
        <v>237</v>
      </c>
      <c r="E29" t="s">
        <v>274</v>
      </c>
    </row>
    <row r="30" spans="1:7" x14ac:dyDescent="0.35">
      <c r="A30" s="2">
        <v>62</v>
      </c>
      <c r="B30" s="3">
        <v>1</v>
      </c>
      <c r="D30" s="3">
        <v>28</v>
      </c>
      <c r="E30">
        <v>364</v>
      </c>
    </row>
    <row r="31" spans="1:7" x14ac:dyDescent="0.35">
      <c r="A31" s="2">
        <v>63</v>
      </c>
      <c r="B31" s="3">
        <v>1</v>
      </c>
    </row>
    <row r="32" spans="1:7" x14ac:dyDescent="0.35">
      <c r="A32" s="2">
        <v>65</v>
      </c>
      <c r="B32" s="3">
        <v>1</v>
      </c>
    </row>
    <row r="33" spans="1:2" x14ac:dyDescent="0.35">
      <c r="A33" s="2">
        <v>67</v>
      </c>
      <c r="B33" s="3">
        <v>1</v>
      </c>
    </row>
    <row r="34" spans="1:2" x14ac:dyDescent="0.35">
      <c r="A34" s="2">
        <v>70</v>
      </c>
      <c r="B34" s="3">
        <v>1</v>
      </c>
    </row>
    <row r="35" spans="1:2" x14ac:dyDescent="0.35">
      <c r="A35" s="2">
        <v>72</v>
      </c>
      <c r="B35" s="3">
        <v>1</v>
      </c>
    </row>
    <row r="36" spans="1:2" x14ac:dyDescent="0.35">
      <c r="A36" s="2">
        <v>74</v>
      </c>
      <c r="B36" s="3">
        <v>1</v>
      </c>
    </row>
    <row r="37" spans="1:2" x14ac:dyDescent="0.35">
      <c r="A37" s="2" t="s">
        <v>235</v>
      </c>
      <c r="B37" s="3">
        <v>28</v>
      </c>
    </row>
  </sheetData>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52FC-EDD7-4FE5-BE77-BDD02A2288F2}">
  <dimension ref="A3:G31"/>
  <sheetViews>
    <sheetView workbookViewId="0">
      <selection activeCell="F14" sqref="F14"/>
    </sheetView>
  </sheetViews>
  <sheetFormatPr defaultRowHeight="14.5" x14ac:dyDescent="0.35"/>
  <cols>
    <col min="1" max="1" width="14.7265625" bestFit="1" customWidth="1"/>
    <col min="2" max="2" width="20.54296875" bestFit="1" customWidth="1"/>
    <col min="3" max="3" width="19.36328125" bestFit="1" customWidth="1"/>
    <col min="4" max="4" width="9.81640625" bestFit="1" customWidth="1"/>
    <col min="5" max="5" width="13.7265625" bestFit="1" customWidth="1"/>
    <col min="6" max="6" width="15.26953125" bestFit="1" customWidth="1"/>
    <col min="7" max="7" width="9.81640625" bestFit="1" customWidth="1"/>
    <col min="8" max="8" width="25.1796875" bestFit="1" customWidth="1"/>
    <col min="9" max="9" width="23.90625" bestFit="1" customWidth="1"/>
    <col min="10" max="10" width="22.36328125" bestFit="1" customWidth="1"/>
  </cols>
  <sheetData>
    <row r="3" spans="1:7" x14ac:dyDescent="0.35">
      <c r="B3" s="1" t="s">
        <v>44</v>
      </c>
    </row>
    <row r="4" spans="1:7" x14ac:dyDescent="0.35">
      <c r="B4" t="s">
        <v>250</v>
      </c>
      <c r="E4" t="s">
        <v>247</v>
      </c>
    </row>
    <row r="5" spans="1:7" x14ac:dyDescent="0.35">
      <c r="A5" s="1" t="s">
        <v>234</v>
      </c>
      <c r="B5" t="s">
        <v>261</v>
      </c>
      <c r="C5" t="s">
        <v>236</v>
      </c>
      <c r="D5" t="s">
        <v>257</v>
      </c>
      <c r="E5" t="s">
        <v>261</v>
      </c>
      <c r="F5" t="s">
        <v>236</v>
      </c>
      <c r="G5" t="s">
        <v>257</v>
      </c>
    </row>
    <row r="6" spans="1:7" x14ac:dyDescent="0.35">
      <c r="A6" s="2" t="s">
        <v>47</v>
      </c>
      <c r="B6" s="3">
        <v>9</v>
      </c>
      <c r="C6" s="3">
        <v>0</v>
      </c>
      <c r="D6" s="5">
        <v>0</v>
      </c>
      <c r="E6" s="3">
        <v>5</v>
      </c>
      <c r="F6" s="3">
        <v>4</v>
      </c>
      <c r="G6" s="5">
        <v>0.8</v>
      </c>
    </row>
    <row r="7" spans="1:7" x14ac:dyDescent="0.35">
      <c r="A7" s="2" t="s">
        <v>46</v>
      </c>
      <c r="B7" s="3">
        <v>5</v>
      </c>
      <c r="C7" s="3">
        <v>1</v>
      </c>
      <c r="D7" s="5">
        <v>0.2</v>
      </c>
      <c r="E7" s="3">
        <v>9</v>
      </c>
      <c r="F7" s="3">
        <v>7</v>
      </c>
      <c r="G7" s="5">
        <v>0.77777777777777779</v>
      </c>
    </row>
    <row r="8" spans="1:7" x14ac:dyDescent="0.35">
      <c r="A8" s="2" t="s">
        <v>235</v>
      </c>
      <c r="B8" s="3">
        <v>14</v>
      </c>
      <c r="C8" s="3">
        <v>1</v>
      </c>
      <c r="D8" s="5">
        <v>7.1428571428571425E-2</v>
      </c>
      <c r="E8" s="3">
        <v>14</v>
      </c>
      <c r="F8" s="3">
        <v>11</v>
      </c>
      <c r="G8" s="5">
        <v>0.7857142857142857</v>
      </c>
    </row>
    <row r="11" spans="1:7" x14ac:dyDescent="0.35">
      <c r="B11" s="1" t="s">
        <v>44</v>
      </c>
    </row>
    <row r="12" spans="1:7" x14ac:dyDescent="0.35">
      <c r="B12" t="s">
        <v>250</v>
      </c>
      <c r="E12" t="s">
        <v>247</v>
      </c>
    </row>
    <row r="13" spans="1:7" x14ac:dyDescent="0.35">
      <c r="A13" s="1" t="s">
        <v>234</v>
      </c>
      <c r="B13" t="s">
        <v>261</v>
      </c>
      <c r="C13" t="s">
        <v>248</v>
      </c>
      <c r="D13" t="s">
        <v>258</v>
      </c>
      <c r="E13" t="s">
        <v>261</v>
      </c>
      <c r="F13" t="s">
        <v>248</v>
      </c>
      <c r="G13" t="s">
        <v>258</v>
      </c>
    </row>
    <row r="14" spans="1:7" x14ac:dyDescent="0.35">
      <c r="A14" s="2" t="s">
        <v>47</v>
      </c>
      <c r="B14" s="3">
        <v>9</v>
      </c>
      <c r="C14" s="3">
        <v>2</v>
      </c>
      <c r="D14" s="5">
        <v>0.22222222222222221</v>
      </c>
      <c r="E14" s="3">
        <v>5</v>
      </c>
      <c r="F14" s="3">
        <v>3</v>
      </c>
      <c r="G14" s="5">
        <v>0.6</v>
      </c>
    </row>
    <row r="15" spans="1:7" x14ac:dyDescent="0.35">
      <c r="A15" s="2" t="s">
        <v>46</v>
      </c>
      <c r="B15" s="3">
        <v>5</v>
      </c>
      <c r="C15" s="3">
        <v>0</v>
      </c>
      <c r="D15" s="5">
        <v>0</v>
      </c>
      <c r="E15" s="3">
        <v>9</v>
      </c>
      <c r="F15" s="3">
        <v>0</v>
      </c>
      <c r="G15" s="5">
        <v>0</v>
      </c>
    </row>
    <row r="16" spans="1:7" x14ac:dyDescent="0.35">
      <c r="A16" s="2" t="s">
        <v>235</v>
      </c>
      <c r="B16" s="3">
        <v>14</v>
      </c>
      <c r="C16" s="3">
        <v>2</v>
      </c>
      <c r="D16" s="5">
        <v>0.14285714285714285</v>
      </c>
      <c r="E16" s="3">
        <v>14</v>
      </c>
      <c r="F16" s="3">
        <v>3</v>
      </c>
      <c r="G16" s="5">
        <v>0.21428571428571427</v>
      </c>
    </row>
    <row r="19" spans="1:7" x14ac:dyDescent="0.35">
      <c r="B19" s="1" t="s">
        <v>44</v>
      </c>
    </row>
    <row r="20" spans="1:7" x14ac:dyDescent="0.35">
      <c r="B20" t="s">
        <v>250</v>
      </c>
      <c r="E20" t="s">
        <v>247</v>
      </c>
    </row>
    <row r="21" spans="1:7" x14ac:dyDescent="0.35">
      <c r="A21" s="1" t="s">
        <v>234</v>
      </c>
      <c r="B21" t="s">
        <v>261</v>
      </c>
      <c r="C21" t="s">
        <v>259</v>
      </c>
      <c r="D21" t="s">
        <v>260</v>
      </c>
      <c r="E21" t="s">
        <v>261</v>
      </c>
      <c r="F21" t="s">
        <v>259</v>
      </c>
      <c r="G21" t="s">
        <v>260</v>
      </c>
    </row>
    <row r="22" spans="1:7" x14ac:dyDescent="0.35">
      <c r="A22" s="2" t="s">
        <v>47</v>
      </c>
      <c r="B22" s="3">
        <v>9</v>
      </c>
      <c r="C22" s="3">
        <v>0</v>
      </c>
      <c r="D22" s="5">
        <v>0</v>
      </c>
      <c r="E22" s="3">
        <v>5</v>
      </c>
      <c r="F22" s="3">
        <v>1</v>
      </c>
      <c r="G22" s="5">
        <v>0.2</v>
      </c>
    </row>
    <row r="23" spans="1:7" x14ac:dyDescent="0.35">
      <c r="A23" s="2" t="s">
        <v>46</v>
      </c>
      <c r="B23" s="3">
        <v>5</v>
      </c>
      <c r="C23" s="3">
        <v>0</v>
      </c>
      <c r="D23" s="5">
        <v>0</v>
      </c>
      <c r="E23" s="3">
        <v>9</v>
      </c>
      <c r="F23" s="3">
        <v>3</v>
      </c>
      <c r="G23" s="5">
        <v>0.33333333333333331</v>
      </c>
    </row>
    <row r="24" spans="1:7" x14ac:dyDescent="0.35">
      <c r="A24" s="2" t="s">
        <v>235</v>
      </c>
      <c r="B24" s="3">
        <v>14</v>
      </c>
      <c r="C24" s="3">
        <v>0</v>
      </c>
      <c r="D24" s="5">
        <v>0</v>
      </c>
      <c r="E24" s="3">
        <v>14</v>
      </c>
      <c r="F24" s="3">
        <v>4</v>
      </c>
      <c r="G24" s="5">
        <v>0.2857142857142857</v>
      </c>
    </row>
    <row r="28" spans="1:7" x14ac:dyDescent="0.35">
      <c r="A28" s="1" t="s">
        <v>234</v>
      </c>
      <c r="B28" t="s">
        <v>254</v>
      </c>
      <c r="C28" t="s">
        <v>255</v>
      </c>
      <c r="D28" t="s">
        <v>268</v>
      </c>
    </row>
    <row r="29" spans="1:7" x14ac:dyDescent="0.35">
      <c r="A29" s="2" t="s">
        <v>252</v>
      </c>
      <c r="B29" s="3">
        <v>12</v>
      </c>
      <c r="C29" s="3">
        <v>7</v>
      </c>
      <c r="D29" s="5">
        <v>0.58333333333333337</v>
      </c>
    </row>
    <row r="30" spans="1:7" x14ac:dyDescent="0.35">
      <c r="A30" s="2" t="s">
        <v>251</v>
      </c>
      <c r="B30" s="3">
        <v>16</v>
      </c>
      <c r="C30" s="3">
        <v>0</v>
      </c>
      <c r="D30" s="5">
        <v>0</v>
      </c>
    </row>
    <row r="31" spans="1:7" x14ac:dyDescent="0.35">
      <c r="A31" s="2" t="s">
        <v>235</v>
      </c>
      <c r="B31" s="3">
        <v>28</v>
      </c>
      <c r="C31" s="3">
        <v>7</v>
      </c>
      <c r="D31" s="5">
        <v>0.25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E542-CD60-4935-8F32-290B09548E3C}">
  <sheetPr>
    <pageSetUpPr fitToPage="1"/>
  </sheetPr>
  <dimension ref="A1:D23"/>
  <sheetViews>
    <sheetView topLeftCell="F1" zoomScale="80" zoomScaleNormal="80" workbookViewId="0">
      <selection activeCell="Y14" sqref="Y14"/>
    </sheetView>
  </sheetViews>
  <sheetFormatPr defaultRowHeight="14.5" x14ac:dyDescent="0.35"/>
  <cols>
    <col min="1" max="1" width="28.81640625" hidden="1" customWidth="1"/>
    <col min="2" max="2" width="15.6328125" hidden="1" customWidth="1"/>
    <col min="3" max="3" width="6.26953125" hidden="1" customWidth="1"/>
    <col min="4" max="4" width="10.36328125" hidden="1" customWidth="1"/>
    <col min="5" max="5" width="0" hidden="1" customWidth="1"/>
  </cols>
  <sheetData>
    <row r="1" spans="1:4" ht="81" customHeight="1" x14ac:dyDescent="0.35"/>
    <row r="3" spans="1:4" x14ac:dyDescent="0.35">
      <c r="A3" s="1" t="s">
        <v>267</v>
      </c>
      <c r="B3" s="1" t="s">
        <v>262</v>
      </c>
    </row>
    <row r="4" spans="1:4" x14ac:dyDescent="0.35">
      <c r="A4" s="1" t="s">
        <v>234</v>
      </c>
      <c r="B4" t="s">
        <v>250</v>
      </c>
      <c r="C4" t="s">
        <v>247</v>
      </c>
      <c r="D4" t="s">
        <v>235</v>
      </c>
    </row>
    <row r="5" spans="1:4" x14ac:dyDescent="0.35">
      <c r="A5" s="2" t="s">
        <v>47</v>
      </c>
      <c r="B5" s="5">
        <v>0</v>
      </c>
      <c r="C5" s="5">
        <v>0.8</v>
      </c>
      <c r="D5" s="5">
        <v>0.2857142857142857</v>
      </c>
    </row>
    <row r="6" spans="1:4" x14ac:dyDescent="0.35">
      <c r="A6" s="2" t="s">
        <v>46</v>
      </c>
      <c r="B6" s="5">
        <v>0.2</v>
      </c>
      <c r="C6" s="5">
        <v>0.77777777777777779</v>
      </c>
      <c r="D6" s="5">
        <v>0.5714285714285714</v>
      </c>
    </row>
    <row r="7" spans="1:4" x14ac:dyDescent="0.35">
      <c r="A7" s="2" t="s">
        <v>235</v>
      </c>
      <c r="B7" s="5">
        <v>7.1428571428571425E-2</v>
      </c>
      <c r="C7" s="5">
        <v>0.7857142857142857</v>
      </c>
      <c r="D7" s="5">
        <v>0.42857142857142855</v>
      </c>
    </row>
    <row r="12" spans="1:4" x14ac:dyDescent="0.35">
      <c r="A12" s="1" t="s">
        <v>258</v>
      </c>
      <c r="B12" s="1" t="s">
        <v>262</v>
      </c>
    </row>
    <row r="13" spans="1:4" x14ac:dyDescent="0.35">
      <c r="A13" s="1" t="s">
        <v>234</v>
      </c>
      <c r="B13" t="s">
        <v>250</v>
      </c>
      <c r="C13" t="s">
        <v>247</v>
      </c>
      <c r="D13" t="s">
        <v>235</v>
      </c>
    </row>
    <row r="14" spans="1:4" x14ac:dyDescent="0.35">
      <c r="A14" s="2" t="s">
        <v>47</v>
      </c>
      <c r="B14" s="5">
        <v>0.22222222222222221</v>
      </c>
      <c r="C14" s="5">
        <v>0.6</v>
      </c>
      <c r="D14" s="5">
        <v>0.35714285714285715</v>
      </c>
    </row>
    <row r="15" spans="1:4" x14ac:dyDescent="0.35">
      <c r="A15" s="2" t="s">
        <v>46</v>
      </c>
      <c r="B15" s="5">
        <v>0</v>
      </c>
      <c r="C15" s="5">
        <v>0</v>
      </c>
      <c r="D15" s="5">
        <v>0</v>
      </c>
    </row>
    <row r="16" spans="1:4" x14ac:dyDescent="0.35">
      <c r="A16" s="2" t="s">
        <v>235</v>
      </c>
      <c r="B16" s="5">
        <v>0.14285714285714285</v>
      </c>
      <c r="C16" s="5">
        <v>0.21428571428571427</v>
      </c>
      <c r="D16" s="5">
        <v>0.17857142857142858</v>
      </c>
    </row>
    <row r="19" spans="1:4" x14ac:dyDescent="0.35">
      <c r="A19" s="1" t="s">
        <v>260</v>
      </c>
      <c r="B19" s="1" t="s">
        <v>262</v>
      </c>
    </row>
    <row r="20" spans="1:4" x14ac:dyDescent="0.35">
      <c r="A20" s="1" t="s">
        <v>234</v>
      </c>
      <c r="B20" t="s">
        <v>250</v>
      </c>
      <c r="C20" t="s">
        <v>247</v>
      </c>
      <c r="D20" t="s">
        <v>235</v>
      </c>
    </row>
    <row r="21" spans="1:4" x14ac:dyDescent="0.35">
      <c r="A21" s="2" t="s">
        <v>47</v>
      </c>
      <c r="B21" s="5">
        <v>0</v>
      </c>
      <c r="C21" s="5">
        <v>0.2</v>
      </c>
      <c r="D21" s="5">
        <v>7.1428571428571425E-2</v>
      </c>
    </row>
    <row r="22" spans="1:4" x14ac:dyDescent="0.35">
      <c r="A22" s="2" t="s">
        <v>46</v>
      </c>
      <c r="B22" s="5">
        <v>0</v>
      </c>
      <c r="C22" s="5">
        <v>0.33333333333333331</v>
      </c>
      <c r="D22" s="5">
        <v>0.21428571428571427</v>
      </c>
    </row>
    <row r="23" spans="1:4" x14ac:dyDescent="0.35">
      <c r="A23" s="2" t="s">
        <v>235</v>
      </c>
      <c r="B23" s="5">
        <v>0</v>
      </c>
      <c r="C23" s="5">
        <v>0.2857142857142857</v>
      </c>
      <c r="D23" s="5">
        <v>0.14285714285714285</v>
      </c>
    </row>
  </sheetData>
  <pageMargins left="0.7" right="0.7" top="0.75" bottom="0.75" header="0.3" footer="0.3"/>
  <pageSetup paperSize="9" orientation="landscape" r:id="rId4"/>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08969-5747-44DE-A830-E2759108F1E4}">
  <dimension ref="A1:D365"/>
  <sheetViews>
    <sheetView topLeftCell="A239" workbookViewId="0">
      <selection activeCell="D257" sqref="D257"/>
    </sheetView>
  </sheetViews>
  <sheetFormatPr defaultRowHeight="14.5" x14ac:dyDescent="0.35"/>
  <cols>
    <col min="1" max="1" width="11.7265625" bestFit="1" customWidth="1"/>
    <col min="2" max="2" width="15.08984375" bestFit="1" customWidth="1"/>
    <col min="3" max="3" width="7.81640625" bestFit="1" customWidth="1"/>
    <col min="4" max="4" width="14.6328125" bestFit="1" customWidth="1"/>
    <col min="5" max="5" width="20.81640625" bestFit="1" customWidth="1"/>
  </cols>
  <sheetData>
    <row r="1" spans="1:4" x14ac:dyDescent="0.35">
      <c r="A1" t="s">
        <v>0</v>
      </c>
      <c r="B1" t="s">
        <v>1</v>
      </c>
      <c r="C1" t="s">
        <v>2</v>
      </c>
      <c r="D1" t="s">
        <v>233</v>
      </c>
    </row>
    <row r="2" spans="1:4" x14ac:dyDescent="0.35">
      <c r="A2" t="s">
        <v>3</v>
      </c>
      <c r="B2" t="s">
        <v>4</v>
      </c>
      <c r="C2">
        <v>6.2</v>
      </c>
      <c r="D2" t="s">
        <v>229</v>
      </c>
    </row>
    <row r="3" spans="1:4" x14ac:dyDescent="0.35">
      <c r="A3" t="s">
        <v>3</v>
      </c>
      <c r="B3" t="s">
        <v>5</v>
      </c>
      <c r="C3">
        <v>4.5</v>
      </c>
      <c r="D3" t="s">
        <v>229</v>
      </c>
    </row>
    <row r="4" spans="1:4" x14ac:dyDescent="0.35">
      <c r="A4" t="s">
        <v>3</v>
      </c>
      <c r="B4" t="s">
        <v>6</v>
      </c>
      <c r="C4">
        <v>13.2</v>
      </c>
      <c r="D4" t="s">
        <v>229</v>
      </c>
    </row>
    <row r="5" spans="1:4" x14ac:dyDescent="0.35">
      <c r="A5" t="s">
        <v>3</v>
      </c>
      <c r="B5" t="s">
        <v>7</v>
      </c>
      <c r="C5">
        <v>39.5</v>
      </c>
      <c r="D5" t="s">
        <v>229</v>
      </c>
    </row>
    <row r="6" spans="1:4" x14ac:dyDescent="0.35">
      <c r="A6" t="s">
        <v>3</v>
      </c>
      <c r="B6" t="s">
        <v>8</v>
      </c>
      <c r="C6">
        <v>250</v>
      </c>
      <c r="D6" t="s">
        <v>229</v>
      </c>
    </row>
    <row r="7" spans="1:4" x14ac:dyDescent="0.35">
      <c r="A7" t="s">
        <v>3</v>
      </c>
      <c r="B7" t="s">
        <v>9</v>
      </c>
      <c r="C7">
        <v>95</v>
      </c>
      <c r="D7" t="s">
        <v>229</v>
      </c>
    </row>
    <row r="8" spans="1:4" x14ac:dyDescent="0.35">
      <c r="A8" t="s">
        <v>3</v>
      </c>
      <c r="B8" t="s">
        <v>10</v>
      </c>
      <c r="C8">
        <v>0.9</v>
      </c>
      <c r="D8" t="s">
        <v>229</v>
      </c>
    </row>
    <row r="9" spans="1:4" x14ac:dyDescent="0.35">
      <c r="A9" t="s">
        <v>3</v>
      </c>
      <c r="B9" t="s">
        <v>11</v>
      </c>
      <c r="C9">
        <v>22</v>
      </c>
      <c r="D9" t="s">
        <v>229</v>
      </c>
    </row>
    <row r="10" spans="1:4" x14ac:dyDescent="0.35">
      <c r="A10" t="s">
        <v>3</v>
      </c>
      <c r="B10" t="s">
        <v>12</v>
      </c>
      <c r="C10">
        <v>20</v>
      </c>
      <c r="D10" t="s">
        <v>229</v>
      </c>
    </row>
    <row r="11" spans="1:4" x14ac:dyDescent="0.35">
      <c r="A11" t="s">
        <v>3</v>
      </c>
      <c r="B11" t="s">
        <v>13</v>
      </c>
      <c r="C11">
        <v>185</v>
      </c>
      <c r="D11" t="s">
        <v>229</v>
      </c>
    </row>
    <row r="12" spans="1:4" x14ac:dyDescent="0.35">
      <c r="A12" t="s">
        <v>3</v>
      </c>
      <c r="B12" t="s">
        <v>14</v>
      </c>
      <c r="C12">
        <v>108</v>
      </c>
      <c r="D12" t="s">
        <v>229</v>
      </c>
    </row>
    <row r="13" spans="1:4" x14ac:dyDescent="0.35">
      <c r="A13" t="s">
        <v>3</v>
      </c>
      <c r="B13" t="s">
        <v>15</v>
      </c>
      <c r="C13">
        <v>55</v>
      </c>
      <c r="D13" t="s">
        <v>230</v>
      </c>
    </row>
    <row r="14" spans="1:4" x14ac:dyDescent="0.35">
      <c r="A14" t="s">
        <v>3</v>
      </c>
      <c r="B14" t="s">
        <v>16</v>
      </c>
      <c r="C14">
        <v>120</v>
      </c>
      <c r="D14" t="s">
        <v>229</v>
      </c>
    </row>
    <row r="15" spans="1:4" x14ac:dyDescent="0.35">
      <c r="A15" t="s">
        <v>17</v>
      </c>
      <c r="B15" t="s">
        <v>4</v>
      </c>
      <c r="C15">
        <v>7.1</v>
      </c>
      <c r="D15" t="s">
        <v>229</v>
      </c>
    </row>
    <row r="16" spans="1:4" x14ac:dyDescent="0.35">
      <c r="A16" t="s">
        <v>17</v>
      </c>
      <c r="B16" t="s">
        <v>5</v>
      </c>
      <c r="C16">
        <v>4.0999999999999996</v>
      </c>
      <c r="D16" t="s">
        <v>229</v>
      </c>
    </row>
    <row r="17" spans="1:4" x14ac:dyDescent="0.35">
      <c r="A17" t="s">
        <v>17</v>
      </c>
      <c r="B17" t="s">
        <v>6</v>
      </c>
      <c r="C17">
        <v>12.8</v>
      </c>
      <c r="D17" t="s">
        <v>229</v>
      </c>
    </row>
    <row r="18" spans="1:4" x14ac:dyDescent="0.35">
      <c r="A18" t="s">
        <v>17</v>
      </c>
      <c r="B18" t="s">
        <v>7</v>
      </c>
      <c r="C18">
        <v>38</v>
      </c>
      <c r="D18" t="s">
        <v>229</v>
      </c>
    </row>
    <row r="19" spans="1:4" x14ac:dyDescent="0.35">
      <c r="A19" t="s">
        <v>17</v>
      </c>
      <c r="B19" t="s">
        <v>8</v>
      </c>
      <c r="C19">
        <v>210</v>
      </c>
      <c r="D19" t="s">
        <v>229</v>
      </c>
    </row>
    <row r="20" spans="1:4" x14ac:dyDescent="0.35">
      <c r="A20" t="s">
        <v>17</v>
      </c>
      <c r="B20" t="s">
        <v>9</v>
      </c>
      <c r="C20">
        <v>142</v>
      </c>
      <c r="D20" t="s">
        <v>231</v>
      </c>
    </row>
    <row r="21" spans="1:4" x14ac:dyDescent="0.35">
      <c r="A21" t="s">
        <v>17</v>
      </c>
      <c r="B21" t="s">
        <v>10</v>
      </c>
      <c r="C21">
        <v>1.1000000000000001</v>
      </c>
      <c r="D21" t="s">
        <v>229</v>
      </c>
    </row>
    <row r="22" spans="1:4" x14ac:dyDescent="0.35">
      <c r="A22" t="s">
        <v>17</v>
      </c>
      <c r="B22" t="s">
        <v>11</v>
      </c>
      <c r="C22">
        <v>35</v>
      </c>
      <c r="D22" t="s">
        <v>229</v>
      </c>
    </row>
    <row r="23" spans="1:4" x14ac:dyDescent="0.35">
      <c r="A23" t="s">
        <v>17</v>
      </c>
      <c r="B23" t="s">
        <v>12</v>
      </c>
      <c r="C23">
        <v>30</v>
      </c>
      <c r="D23" t="s">
        <v>229</v>
      </c>
    </row>
    <row r="24" spans="1:4" x14ac:dyDescent="0.35">
      <c r="A24" t="s">
        <v>17</v>
      </c>
      <c r="B24" t="s">
        <v>13</v>
      </c>
      <c r="C24">
        <v>248</v>
      </c>
      <c r="D24" t="s">
        <v>231</v>
      </c>
    </row>
    <row r="25" spans="1:4" x14ac:dyDescent="0.35">
      <c r="A25" t="s">
        <v>17</v>
      </c>
      <c r="B25" t="s">
        <v>14</v>
      </c>
      <c r="C25">
        <v>162</v>
      </c>
      <c r="D25" t="s">
        <v>231</v>
      </c>
    </row>
    <row r="26" spans="1:4" x14ac:dyDescent="0.35">
      <c r="A26" t="s">
        <v>17</v>
      </c>
      <c r="B26" t="s">
        <v>15</v>
      </c>
      <c r="C26">
        <v>36</v>
      </c>
      <c r="D26" t="s">
        <v>232</v>
      </c>
    </row>
    <row r="27" spans="1:4" x14ac:dyDescent="0.35">
      <c r="A27" t="s">
        <v>17</v>
      </c>
      <c r="B27" t="s">
        <v>16</v>
      </c>
      <c r="C27">
        <v>215</v>
      </c>
      <c r="D27" t="s">
        <v>231</v>
      </c>
    </row>
    <row r="28" spans="1:4" x14ac:dyDescent="0.35">
      <c r="A28" t="s">
        <v>18</v>
      </c>
      <c r="B28" t="s">
        <v>4</v>
      </c>
      <c r="C28">
        <v>5.0999999999999996</v>
      </c>
      <c r="D28" t="s">
        <v>229</v>
      </c>
    </row>
    <row r="29" spans="1:4" x14ac:dyDescent="0.35">
      <c r="A29" t="s">
        <v>18</v>
      </c>
      <c r="B29" t="s">
        <v>5</v>
      </c>
      <c r="C29">
        <v>4.8</v>
      </c>
      <c r="D29" t="s">
        <v>229</v>
      </c>
    </row>
    <row r="30" spans="1:4" x14ac:dyDescent="0.35">
      <c r="A30" t="s">
        <v>18</v>
      </c>
      <c r="B30" t="s">
        <v>6</v>
      </c>
      <c r="C30">
        <v>14.1</v>
      </c>
      <c r="D30" t="s">
        <v>229</v>
      </c>
    </row>
    <row r="31" spans="1:4" x14ac:dyDescent="0.35">
      <c r="A31" t="s">
        <v>18</v>
      </c>
      <c r="B31" t="s">
        <v>7</v>
      </c>
      <c r="C31">
        <v>42</v>
      </c>
      <c r="D31" t="s">
        <v>229</v>
      </c>
    </row>
    <row r="32" spans="1:4" x14ac:dyDescent="0.35">
      <c r="A32" t="s">
        <v>18</v>
      </c>
      <c r="B32" t="s">
        <v>8</v>
      </c>
      <c r="C32">
        <v>310</v>
      </c>
      <c r="D32" t="s">
        <v>229</v>
      </c>
    </row>
    <row r="33" spans="1:4" x14ac:dyDescent="0.35">
      <c r="A33" t="s">
        <v>18</v>
      </c>
      <c r="B33" t="s">
        <v>9</v>
      </c>
      <c r="C33">
        <v>88</v>
      </c>
      <c r="D33" t="s">
        <v>229</v>
      </c>
    </row>
    <row r="34" spans="1:4" x14ac:dyDescent="0.35">
      <c r="A34" t="s">
        <v>18</v>
      </c>
      <c r="B34" t="s">
        <v>10</v>
      </c>
      <c r="C34">
        <v>0.7</v>
      </c>
      <c r="D34" t="s">
        <v>229</v>
      </c>
    </row>
    <row r="35" spans="1:4" x14ac:dyDescent="0.35">
      <c r="A35" t="s">
        <v>18</v>
      </c>
      <c r="B35" t="s">
        <v>11</v>
      </c>
      <c r="C35">
        <v>18</v>
      </c>
      <c r="D35" t="s">
        <v>229</v>
      </c>
    </row>
    <row r="36" spans="1:4" x14ac:dyDescent="0.35">
      <c r="A36" t="s">
        <v>18</v>
      </c>
      <c r="B36" t="s">
        <v>12</v>
      </c>
      <c r="C36">
        <v>17</v>
      </c>
      <c r="D36" t="s">
        <v>229</v>
      </c>
    </row>
    <row r="37" spans="1:4" x14ac:dyDescent="0.35">
      <c r="A37" t="s">
        <v>18</v>
      </c>
      <c r="B37" t="s">
        <v>13</v>
      </c>
      <c r="C37">
        <v>172</v>
      </c>
      <c r="D37" t="s">
        <v>229</v>
      </c>
    </row>
    <row r="38" spans="1:4" x14ac:dyDescent="0.35">
      <c r="A38" t="s">
        <v>18</v>
      </c>
      <c r="B38" t="s">
        <v>14</v>
      </c>
      <c r="C38">
        <v>95</v>
      </c>
      <c r="D38" t="s">
        <v>229</v>
      </c>
    </row>
    <row r="39" spans="1:4" x14ac:dyDescent="0.35">
      <c r="A39" t="s">
        <v>18</v>
      </c>
      <c r="B39" t="s">
        <v>15</v>
      </c>
      <c r="C39">
        <v>62</v>
      </c>
      <c r="D39" t="s">
        <v>230</v>
      </c>
    </row>
    <row r="40" spans="1:4" x14ac:dyDescent="0.35">
      <c r="A40" t="s">
        <v>18</v>
      </c>
      <c r="B40" t="s">
        <v>16</v>
      </c>
      <c r="C40">
        <v>95</v>
      </c>
      <c r="D40" t="s">
        <v>229</v>
      </c>
    </row>
    <row r="41" spans="1:4" x14ac:dyDescent="0.35">
      <c r="A41" t="s">
        <v>19</v>
      </c>
      <c r="B41" t="s">
        <v>4</v>
      </c>
      <c r="C41">
        <v>7.3</v>
      </c>
      <c r="D41" t="s">
        <v>229</v>
      </c>
    </row>
    <row r="42" spans="1:4" x14ac:dyDescent="0.35">
      <c r="A42" t="s">
        <v>19</v>
      </c>
      <c r="B42" t="s">
        <v>5</v>
      </c>
      <c r="C42">
        <v>4.3</v>
      </c>
      <c r="D42" t="s">
        <v>229</v>
      </c>
    </row>
    <row r="43" spans="1:4" x14ac:dyDescent="0.35">
      <c r="A43" t="s">
        <v>19</v>
      </c>
      <c r="B43" t="s">
        <v>6</v>
      </c>
      <c r="C43">
        <v>13.5</v>
      </c>
      <c r="D43" t="s">
        <v>229</v>
      </c>
    </row>
    <row r="44" spans="1:4" x14ac:dyDescent="0.35">
      <c r="A44" t="s">
        <v>19</v>
      </c>
      <c r="B44" t="s">
        <v>7</v>
      </c>
      <c r="C44">
        <v>40.1</v>
      </c>
      <c r="D44" t="s">
        <v>229</v>
      </c>
    </row>
    <row r="45" spans="1:4" x14ac:dyDescent="0.35">
      <c r="A45" t="s">
        <v>19</v>
      </c>
      <c r="B45" t="s">
        <v>8</v>
      </c>
      <c r="C45">
        <v>190</v>
      </c>
      <c r="D45" t="s">
        <v>229</v>
      </c>
    </row>
    <row r="46" spans="1:4" x14ac:dyDescent="0.35">
      <c r="A46" t="s">
        <v>19</v>
      </c>
      <c r="B46" t="s">
        <v>9</v>
      </c>
      <c r="C46">
        <v>102</v>
      </c>
      <c r="D46" t="s">
        <v>231</v>
      </c>
    </row>
    <row r="47" spans="1:4" x14ac:dyDescent="0.35">
      <c r="A47" t="s">
        <v>19</v>
      </c>
      <c r="B47" t="s">
        <v>10</v>
      </c>
      <c r="C47">
        <v>1</v>
      </c>
      <c r="D47" t="s">
        <v>229</v>
      </c>
    </row>
    <row r="48" spans="1:4" x14ac:dyDescent="0.35">
      <c r="A48" t="s">
        <v>19</v>
      </c>
      <c r="B48" t="s">
        <v>11</v>
      </c>
      <c r="C48">
        <v>68</v>
      </c>
      <c r="D48" t="s">
        <v>231</v>
      </c>
    </row>
    <row r="49" spans="1:4" x14ac:dyDescent="0.35">
      <c r="A49" t="s">
        <v>19</v>
      </c>
      <c r="B49" t="s">
        <v>12</v>
      </c>
      <c r="C49">
        <v>52</v>
      </c>
      <c r="D49" t="s">
        <v>231</v>
      </c>
    </row>
    <row r="50" spans="1:4" x14ac:dyDescent="0.35">
      <c r="A50" t="s">
        <v>19</v>
      </c>
      <c r="B50" t="s">
        <v>13</v>
      </c>
      <c r="C50">
        <v>195</v>
      </c>
      <c r="D50" t="s">
        <v>229</v>
      </c>
    </row>
    <row r="51" spans="1:4" x14ac:dyDescent="0.35">
      <c r="A51" t="s">
        <v>19</v>
      </c>
      <c r="B51" t="s">
        <v>14</v>
      </c>
      <c r="C51">
        <v>120</v>
      </c>
      <c r="D51" t="s">
        <v>229</v>
      </c>
    </row>
    <row r="52" spans="1:4" x14ac:dyDescent="0.35">
      <c r="A52" t="s">
        <v>19</v>
      </c>
      <c r="B52" t="s">
        <v>15</v>
      </c>
      <c r="C52">
        <v>47</v>
      </c>
      <c r="D52" t="s">
        <v>230</v>
      </c>
    </row>
    <row r="53" spans="1:4" x14ac:dyDescent="0.35">
      <c r="A53" t="s">
        <v>19</v>
      </c>
      <c r="B53" t="s">
        <v>16</v>
      </c>
      <c r="C53">
        <v>140</v>
      </c>
      <c r="D53" t="s">
        <v>229</v>
      </c>
    </row>
    <row r="54" spans="1:4" x14ac:dyDescent="0.35">
      <c r="A54" t="s">
        <v>20</v>
      </c>
      <c r="B54" t="s">
        <v>4</v>
      </c>
      <c r="C54">
        <v>5.8</v>
      </c>
      <c r="D54" t="s">
        <v>229</v>
      </c>
    </row>
    <row r="55" spans="1:4" x14ac:dyDescent="0.35">
      <c r="A55" t="s">
        <v>20</v>
      </c>
      <c r="B55" t="s">
        <v>5</v>
      </c>
      <c r="C55">
        <v>3.5</v>
      </c>
      <c r="D55" t="s">
        <v>232</v>
      </c>
    </row>
    <row r="56" spans="1:4" x14ac:dyDescent="0.35">
      <c r="A56" t="s">
        <v>20</v>
      </c>
      <c r="B56" t="s">
        <v>6</v>
      </c>
      <c r="C56">
        <v>9.8000000000000007</v>
      </c>
      <c r="D56" t="s">
        <v>232</v>
      </c>
    </row>
    <row r="57" spans="1:4" x14ac:dyDescent="0.35">
      <c r="A57" t="s">
        <v>20</v>
      </c>
      <c r="B57" t="s">
        <v>7</v>
      </c>
      <c r="C57">
        <v>29.5</v>
      </c>
      <c r="D57" t="s">
        <v>232</v>
      </c>
    </row>
    <row r="58" spans="1:4" x14ac:dyDescent="0.35">
      <c r="A58" t="s">
        <v>20</v>
      </c>
      <c r="B58" t="s">
        <v>8</v>
      </c>
      <c r="C58">
        <v>220</v>
      </c>
      <c r="D58" t="s">
        <v>229</v>
      </c>
    </row>
    <row r="59" spans="1:4" x14ac:dyDescent="0.35">
      <c r="A59" t="s">
        <v>20</v>
      </c>
      <c r="B59" t="s">
        <v>9</v>
      </c>
      <c r="C59">
        <v>85</v>
      </c>
      <c r="D59" t="s">
        <v>229</v>
      </c>
    </row>
    <row r="60" spans="1:4" x14ac:dyDescent="0.35">
      <c r="A60" t="s">
        <v>20</v>
      </c>
      <c r="B60" t="s">
        <v>10</v>
      </c>
      <c r="C60">
        <v>0.8</v>
      </c>
      <c r="D60" t="s">
        <v>229</v>
      </c>
    </row>
    <row r="61" spans="1:4" x14ac:dyDescent="0.35">
      <c r="A61" t="s">
        <v>20</v>
      </c>
      <c r="B61" t="s">
        <v>11</v>
      </c>
      <c r="C61">
        <v>20</v>
      </c>
      <c r="D61" t="s">
        <v>229</v>
      </c>
    </row>
    <row r="62" spans="1:4" x14ac:dyDescent="0.35">
      <c r="A62" t="s">
        <v>20</v>
      </c>
      <c r="B62" t="s">
        <v>12</v>
      </c>
      <c r="C62">
        <v>18</v>
      </c>
      <c r="D62" t="s">
        <v>229</v>
      </c>
    </row>
    <row r="63" spans="1:4" x14ac:dyDescent="0.35">
      <c r="A63" t="s">
        <v>20</v>
      </c>
      <c r="B63" t="s">
        <v>13</v>
      </c>
      <c r="C63">
        <v>178</v>
      </c>
      <c r="D63" t="s">
        <v>229</v>
      </c>
    </row>
    <row r="64" spans="1:4" x14ac:dyDescent="0.35">
      <c r="A64" t="s">
        <v>20</v>
      </c>
      <c r="B64" t="s">
        <v>14</v>
      </c>
      <c r="C64">
        <v>105</v>
      </c>
      <c r="D64" t="s">
        <v>229</v>
      </c>
    </row>
    <row r="65" spans="1:4" x14ac:dyDescent="0.35">
      <c r="A65" t="s">
        <v>20</v>
      </c>
      <c r="B65" t="s">
        <v>15</v>
      </c>
      <c r="C65">
        <v>58</v>
      </c>
      <c r="D65" t="s">
        <v>230</v>
      </c>
    </row>
    <row r="66" spans="1:4" x14ac:dyDescent="0.35">
      <c r="A66" t="s">
        <v>20</v>
      </c>
      <c r="B66" t="s">
        <v>16</v>
      </c>
      <c r="C66">
        <v>110</v>
      </c>
      <c r="D66" t="s">
        <v>229</v>
      </c>
    </row>
    <row r="67" spans="1:4" x14ac:dyDescent="0.35">
      <c r="A67" t="s">
        <v>21</v>
      </c>
      <c r="B67" t="s">
        <v>4</v>
      </c>
      <c r="C67">
        <v>8.1999999999999993</v>
      </c>
      <c r="D67" t="s">
        <v>229</v>
      </c>
    </row>
    <row r="68" spans="1:4" x14ac:dyDescent="0.35">
      <c r="A68" t="s">
        <v>21</v>
      </c>
      <c r="B68" t="s">
        <v>5</v>
      </c>
      <c r="C68">
        <v>3.9</v>
      </c>
      <c r="D68" t="s">
        <v>229</v>
      </c>
    </row>
    <row r="69" spans="1:4" x14ac:dyDescent="0.35">
      <c r="A69" t="s">
        <v>21</v>
      </c>
      <c r="B69" t="s">
        <v>6</v>
      </c>
      <c r="C69">
        <v>11.5</v>
      </c>
      <c r="D69" t="s">
        <v>229</v>
      </c>
    </row>
    <row r="70" spans="1:4" x14ac:dyDescent="0.35">
      <c r="A70" t="s">
        <v>21</v>
      </c>
      <c r="B70" t="s">
        <v>7</v>
      </c>
      <c r="C70">
        <v>34.5</v>
      </c>
      <c r="D70" t="s">
        <v>229</v>
      </c>
    </row>
    <row r="71" spans="1:4" x14ac:dyDescent="0.35">
      <c r="A71" t="s">
        <v>21</v>
      </c>
      <c r="B71" t="s">
        <v>8</v>
      </c>
      <c r="C71">
        <v>175</v>
      </c>
      <c r="D71" t="s">
        <v>229</v>
      </c>
    </row>
    <row r="72" spans="1:4" x14ac:dyDescent="0.35">
      <c r="A72" t="s">
        <v>21</v>
      </c>
      <c r="B72" t="s">
        <v>9</v>
      </c>
      <c r="C72">
        <v>138</v>
      </c>
      <c r="D72" t="s">
        <v>231</v>
      </c>
    </row>
    <row r="73" spans="1:4" x14ac:dyDescent="0.35">
      <c r="A73" t="s">
        <v>21</v>
      </c>
      <c r="B73" t="s">
        <v>10</v>
      </c>
      <c r="C73">
        <v>2.1</v>
      </c>
      <c r="D73" t="s">
        <v>231</v>
      </c>
    </row>
    <row r="74" spans="1:4" x14ac:dyDescent="0.35">
      <c r="A74" t="s">
        <v>21</v>
      </c>
      <c r="B74" t="s">
        <v>11</v>
      </c>
      <c r="C74">
        <v>30</v>
      </c>
      <c r="D74" t="s">
        <v>229</v>
      </c>
    </row>
    <row r="75" spans="1:4" x14ac:dyDescent="0.35">
      <c r="A75" t="s">
        <v>21</v>
      </c>
      <c r="B75" t="s">
        <v>12</v>
      </c>
      <c r="C75">
        <v>28</v>
      </c>
      <c r="D75" t="s">
        <v>229</v>
      </c>
    </row>
    <row r="76" spans="1:4" x14ac:dyDescent="0.35">
      <c r="A76" t="s">
        <v>21</v>
      </c>
      <c r="B76" t="s">
        <v>13</v>
      </c>
      <c r="C76">
        <v>235</v>
      </c>
      <c r="D76" t="s">
        <v>231</v>
      </c>
    </row>
    <row r="77" spans="1:4" x14ac:dyDescent="0.35">
      <c r="A77" t="s">
        <v>21</v>
      </c>
      <c r="B77" t="s">
        <v>14</v>
      </c>
      <c r="C77">
        <v>150</v>
      </c>
      <c r="D77" t="s">
        <v>231</v>
      </c>
    </row>
    <row r="78" spans="1:4" x14ac:dyDescent="0.35">
      <c r="A78" t="s">
        <v>21</v>
      </c>
      <c r="B78" t="s">
        <v>15</v>
      </c>
      <c r="C78">
        <v>38</v>
      </c>
      <c r="D78" t="s">
        <v>232</v>
      </c>
    </row>
    <row r="79" spans="1:4" x14ac:dyDescent="0.35">
      <c r="A79" t="s">
        <v>21</v>
      </c>
      <c r="B79" t="s">
        <v>16</v>
      </c>
      <c r="C79">
        <v>195</v>
      </c>
      <c r="D79" t="s">
        <v>231</v>
      </c>
    </row>
    <row r="80" spans="1:4" x14ac:dyDescent="0.35">
      <c r="A80" t="s">
        <v>22</v>
      </c>
      <c r="B80" t="s">
        <v>4</v>
      </c>
      <c r="C80">
        <v>6.8</v>
      </c>
      <c r="D80" t="s">
        <v>229</v>
      </c>
    </row>
    <row r="81" spans="1:4" x14ac:dyDescent="0.35">
      <c r="A81" t="s">
        <v>22</v>
      </c>
      <c r="B81" t="s">
        <v>5</v>
      </c>
      <c r="C81">
        <v>4.5999999999999996</v>
      </c>
      <c r="D81" t="s">
        <v>229</v>
      </c>
    </row>
    <row r="82" spans="1:4" x14ac:dyDescent="0.35">
      <c r="A82" t="s">
        <v>22</v>
      </c>
      <c r="B82" t="s">
        <v>6</v>
      </c>
      <c r="C82">
        <v>13.8</v>
      </c>
      <c r="D82" t="s">
        <v>229</v>
      </c>
    </row>
    <row r="83" spans="1:4" x14ac:dyDescent="0.35">
      <c r="A83" t="s">
        <v>22</v>
      </c>
      <c r="B83" t="s">
        <v>7</v>
      </c>
      <c r="C83">
        <v>41</v>
      </c>
      <c r="D83" t="s">
        <v>229</v>
      </c>
    </row>
    <row r="84" spans="1:4" x14ac:dyDescent="0.35">
      <c r="A84" t="s">
        <v>22</v>
      </c>
      <c r="B84" t="s">
        <v>8</v>
      </c>
      <c r="C84">
        <v>280</v>
      </c>
      <c r="D84" t="s">
        <v>229</v>
      </c>
    </row>
    <row r="85" spans="1:4" x14ac:dyDescent="0.35">
      <c r="A85" t="s">
        <v>22</v>
      </c>
      <c r="B85" t="s">
        <v>9</v>
      </c>
      <c r="C85">
        <v>91</v>
      </c>
      <c r="D85" t="s">
        <v>229</v>
      </c>
    </row>
    <row r="86" spans="1:4" x14ac:dyDescent="0.35">
      <c r="A86" t="s">
        <v>22</v>
      </c>
      <c r="B86" t="s">
        <v>10</v>
      </c>
      <c r="C86">
        <v>0.8</v>
      </c>
      <c r="D86" t="s">
        <v>229</v>
      </c>
    </row>
    <row r="87" spans="1:4" x14ac:dyDescent="0.35">
      <c r="A87" t="s">
        <v>22</v>
      </c>
      <c r="B87" t="s">
        <v>11</v>
      </c>
      <c r="C87">
        <v>25</v>
      </c>
      <c r="D87" t="s">
        <v>229</v>
      </c>
    </row>
    <row r="88" spans="1:4" x14ac:dyDescent="0.35">
      <c r="A88" t="s">
        <v>22</v>
      </c>
      <c r="B88" t="s">
        <v>12</v>
      </c>
      <c r="C88">
        <v>22</v>
      </c>
      <c r="D88" t="s">
        <v>229</v>
      </c>
    </row>
    <row r="89" spans="1:4" x14ac:dyDescent="0.35">
      <c r="A89" t="s">
        <v>22</v>
      </c>
      <c r="B89" t="s">
        <v>13</v>
      </c>
      <c r="C89">
        <v>188</v>
      </c>
      <c r="D89" t="s">
        <v>229</v>
      </c>
    </row>
    <row r="90" spans="1:4" x14ac:dyDescent="0.35">
      <c r="A90" t="s">
        <v>22</v>
      </c>
      <c r="B90" t="s">
        <v>14</v>
      </c>
      <c r="C90">
        <v>112</v>
      </c>
      <c r="D90" t="s">
        <v>229</v>
      </c>
    </row>
    <row r="91" spans="1:4" x14ac:dyDescent="0.35">
      <c r="A91" t="s">
        <v>22</v>
      </c>
      <c r="B91" t="s">
        <v>15</v>
      </c>
      <c r="C91">
        <v>52</v>
      </c>
      <c r="D91" t="s">
        <v>230</v>
      </c>
    </row>
    <row r="92" spans="1:4" x14ac:dyDescent="0.35">
      <c r="A92" t="s">
        <v>22</v>
      </c>
      <c r="B92" t="s">
        <v>16</v>
      </c>
      <c r="C92">
        <v>105</v>
      </c>
      <c r="D92" t="s">
        <v>229</v>
      </c>
    </row>
    <row r="93" spans="1:4" x14ac:dyDescent="0.35">
      <c r="A93" t="s">
        <v>23</v>
      </c>
      <c r="B93" t="s">
        <v>4</v>
      </c>
      <c r="C93">
        <v>7</v>
      </c>
      <c r="D93" t="s">
        <v>229</v>
      </c>
    </row>
    <row r="94" spans="1:4" x14ac:dyDescent="0.35">
      <c r="A94" t="s">
        <v>23</v>
      </c>
      <c r="B94" t="s">
        <v>5</v>
      </c>
      <c r="C94">
        <v>4.4000000000000004</v>
      </c>
      <c r="D94" t="s">
        <v>229</v>
      </c>
    </row>
    <row r="95" spans="1:4" x14ac:dyDescent="0.35">
      <c r="A95" t="s">
        <v>23</v>
      </c>
      <c r="B95" t="s">
        <v>6</v>
      </c>
      <c r="C95">
        <v>14</v>
      </c>
      <c r="D95" t="s">
        <v>229</v>
      </c>
    </row>
    <row r="96" spans="1:4" x14ac:dyDescent="0.35">
      <c r="A96" t="s">
        <v>23</v>
      </c>
      <c r="B96" t="s">
        <v>7</v>
      </c>
      <c r="C96">
        <v>41.5</v>
      </c>
      <c r="D96" t="s">
        <v>229</v>
      </c>
    </row>
    <row r="97" spans="1:4" x14ac:dyDescent="0.35">
      <c r="A97" t="s">
        <v>23</v>
      </c>
      <c r="B97" t="s">
        <v>8</v>
      </c>
      <c r="C97">
        <v>230</v>
      </c>
      <c r="D97" t="s">
        <v>229</v>
      </c>
    </row>
    <row r="98" spans="1:4" x14ac:dyDescent="0.35">
      <c r="A98" t="s">
        <v>23</v>
      </c>
      <c r="B98" t="s">
        <v>9</v>
      </c>
      <c r="C98">
        <v>108</v>
      </c>
      <c r="D98" t="s">
        <v>231</v>
      </c>
    </row>
    <row r="99" spans="1:4" x14ac:dyDescent="0.35">
      <c r="A99" t="s">
        <v>23</v>
      </c>
      <c r="B99" t="s">
        <v>10</v>
      </c>
      <c r="C99">
        <v>1</v>
      </c>
      <c r="D99" t="s">
        <v>229</v>
      </c>
    </row>
    <row r="100" spans="1:4" x14ac:dyDescent="0.35">
      <c r="A100" t="s">
        <v>23</v>
      </c>
      <c r="B100" t="s">
        <v>11</v>
      </c>
      <c r="C100">
        <v>32</v>
      </c>
      <c r="D100" t="s">
        <v>229</v>
      </c>
    </row>
    <row r="101" spans="1:4" x14ac:dyDescent="0.35">
      <c r="A101" t="s">
        <v>23</v>
      </c>
      <c r="B101" t="s">
        <v>12</v>
      </c>
      <c r="C101">
        <v>28</v>
      </c>
      <c r="D101" t="s">
        <v>229</v>
      </c>
    </row>
    <row r="102" spans="1:4" x14ac:dyDescent="0.35">
      <c r="A102" t="s">
        <v>23</v>
      </c>
      <c r="B102" t="s">
        <v>13</v>
      </c>
      <c r="C102">
        <v>238</v>
      </c>
      <c r="D102" t="s">
        <v>231</v>
      </c>
    </row>
    <row r="103" spans="1:4" x14ac:dyDescent="0.35">
      <c r="A103" t="s">
        <v>23</v>
      </c>
      <c r="B103" t="s">
        <v>14</v>
      </c>
      <c r="C103">
        <v>158</v>
      </c>
      <c r="D103" t="s">
        <v>231</v>
      </c>
    </row>
    <row r="104" spans="1:4" x14ac:dyDescent="0.35">
      <c r="A104" t="s">
        <v>23</v>
      </c>
      <c r="B104" t="s">
        <v>15</v>
      </c>
      <c r="C104">
        <v>42</v>
      </c>
      <c r="D104" t="s">
        <v>230</v>
      </c>
    </row>
    <row r="105" spans="1:4" x14ac:dyDescent="0.35">
      <c r="A105" t="s">
        <v>23</v>
      </c>
      <c r="B105" t="s">
        <v>16</v>
      </c>
      <c r="C105">
        <v>218</v>
      </c>
      <c r="D105" t="s">
        <v>231</v>
      </c>
    </row>
    <row r="106" spans="1:4" x14ac:dyDescent="0.35">
      <c r="A106" t="s">
        <v>24</v>
      </c>
      <c r="B106" t="s">
        <v>4</v>
      </c>
      <c r="C106">
        <v>6.5</v>
      </c>
      <c r="D106" t="s">
        <v>229</v>
      </c>
    </row>
    <row r="107" spans="1:4" x14ac:dyDescent="0.35">
      <c r="A107" t="s">
        <v>24</v>
      </c>
      <c r="B107" t="s">
        <v>5</v>
      </c>
      <c r="C107">
        <v>4.4000000000000004</v>
      </c>
      <c r="D107" t="s">
        <v>229</v>
      </c>
    </row>
    <row r="108" spans="1:4" x14ac:dyDescent="0.35">
      <c r="A108" t="s">
        <v>24</v>
      </c>
      <c r="B108" t="s">
        <v>6</v>
      </c>
      <c r="C108">
        <v>13.1</v>
      </c>
      <c r="D108" t="s">
        <v>229</v>
      </c>
    </row>
    <row r="109" spans="1:4" x14ac:dyDescent="0.35">
      <c r="A109" t="s">
        <v>24</v>
      </c>
      <c r="B109" t="s">
        <v>7</v>
      </c>
      <c r="C109">
        <v>39.200000000000003</v>
      </c>
      <c r="D109" t="s">
        <v>229</v>
      </c>
    </row>
    <row r="110" spans="1:4" x14ac:dyDescent="0.35">
      <c r="A110" t="s">
        <v>24</v>
      </c>
      <c r="B110" t="s">
        <v>8</v>
      </c>
      <c r="C110">
        <v>112</v>
      </c>
      <c r="D110" t="s">
        <v>232</v>
      </c>
    </row>
    <row r="111" spans="1:4" x14ac:dyDescent="0.35">
      <c r="A111" t="s">
        <v>24</v>
      </c>
      <c r="B111" t="s">
        <v>9</v>
      </c>
      <c r="C111">
        <v>90</v>
      </c>
      <c r="D111" t="s">
        <v>229</v>
      </c>
    </row>
    <row r="112" spans="1:4" x14ac:dyDescent="0.35">
      <c r="A112" t="s">
        <v>24</v>
      </c>
      <c r="B112" t="s">
        <v>10</v>
      </c>
      <c r="C112">
        <v>0.9</v>
      </c>
      <c r="D112" t="s">
        <v>229</v>
      </c>
    </row>
    <row r="113" spans="1:4" x14ac:dyDescent="0.35">
      <c r="A113" t="s">
        <v>24</v>
      </c>
      <c r="B113" t="s">
        <v>11</v>
      </c>
      <c r="C113">
        <v>24</v>
      </c>
      <c r="D113" t="s">
        <v>229</v>
      </c>
    </row>
    <row r="114" spans="1:4" x14ac:dyDescent="0.35">
      <c r="A114" t="s">
        <v>24</v>
      </c>
      <c r="B114" t="s">
        <v>12</v>
      </c>
      <c r="C114">
        <v>21</v>
      </c>
      <c r="D114" t="s">
        <v>229</v>
      </c>
    </row>
    <row r="115" spans="1:4" x14ac:dyDescent="0.35">
      <c r="A115" t="s">
        <v>24</v>
      </c>
      <c r="B115" t="s">
        <v>13</v>
      </c>
      <c r="C115">
        <v>192</v>
      </c>
      <c r="D115" t="s">
        <v>229</v>
      </c>
    </row>
    <row r="116" spans="1:4" x14ac:dyDescent="0.35">
      <c r="A116" t="s">
        <v>24</v>
      </c>
      <c r="B116" t="s">
        <v>14</v>
      </c>
      <c r="C116">
        <v>118</v>
      </c>
      <c r="D116" t="s">
        <v>229</v>
      </c>
    </row>
    <row r="117" spans="1:4" x14ac:dyDescent="0.35">
      <c r="A117" t="s">
        <v>24</v>
      </c>
      <c r="B117" t="s">
        <v>15</v>
      </c>
      <c r="C117">
        <v>50</v>
      </c>
      <c r="D117" t="s">
        <v>230</v>
      </c>
    </row>
    <row r="118" spans="1:4" x14ac:dyDescent="0.35">
      <c r="A118" t="s">
        <v>24</v>
      </c>
      <c r="B118" t="s">
        <v>16</v>
      </c>
      <c r="C118">
        <v>125</v>
      </c>
      <c r="D118" t="s">
        <v>229</v>
      </c>
    </row>
    <row r="119" spans="1:4" x14ac:dyDescent="0.35">
      <c r="A119" t="s">
        <v>25</v>
      </c>
      <c r="B119" t="s">
        <v>4</v>
      </c>
      <c r="C119">
        <v>13.5</v>
      </c>
      <c r="D119" t="s">
        <v>231</v>
      </c>
    </row>
    <row r="120" spans="1:4" x14ac:dyDescent="0.35">
      <c r="A120" t="s">
        <v>25</v>
      </c>
      <c r="B120" t="s">
        <v>5</v>
      </c>
      <c r="C120">
        <v>4</v>
      </c>
      <c r="D120" t="s">
        <v>229</v>
      </c>
    </row>
    <row r="121" spans="1:4" x14ac:dyDescent="0.35">
      <c r="A121" t="s">
        <v>25</v>
      </c>
      <c r="B121" t="s">
        <v>6</v>
      </c>
      <c r="C121">
        <v>12.5</v>
      </c>
      <c r="D121" t="s">
        <v>229</v>
      </c>
    </row>
    <row r="122" spans="1:4" x14ac:dyDescent="0.35">
      <c r="A122" t="s">
        <v>25</v>
      </c>
      <c r="B122" t="s">
        <v>7</v>
      </c>
      <c r="C122">
        <v>37.799999999999997</v>
      </c>
      <c r="D122" t="s">
        <v>229</v>
      </c>
    </row>
    <row r="123" spans="1:4" x14ac:dyDescent="0.35">
      <c r="A123" t="s">
        <v>25</v>
      </c>
      <c r="B123" t="s">
        <v>8</v>
      </c>
      <c r="C123">
        <v>280</v>
      </c>
      <c r="D123" t="s">
        <v>229</v>
      </c>
    </row>
    <row r="124" spans="1:4" x14ac:dyDescent="0.35">
      <c r="A124" t="s">
        <v>25</v>
      </c>
      <c r="B124" t="s">
        <v>9</v>
      </c>
      <c r="C124">
        <v>145</v>
      </c>
      <c r="D124" t="s">
        <v>231</v>
      </c>
    </row>
    <row r="125" spans="1:4" x14ac:dyDescent="0.35">
      <c r="A125" t="s">
        <v>25</v>
      </c>
      <c r="B125" t="s">
        <v>10</v>
      </c>
      <c r="C125">
        <v>1.2</v>
      </c>
      <c r="D125" t="s">
        <v>229</v>
      </c>
    </row>
    <row r="126" spans="1:4" x14ac:dyDescent="0.35">
      <c r="A126" t="s">
        <v>25</v>
      </c>
      <c r="B126" t="s">
        <v>11</v>
      </c>
      <c r="C126">
        <v>38</v>
      </c>
      <c r="D126" t="s">
        <v>229</v>
      </c>
    </row>
    <row r="127" spans="1:4" x14ac:dyDescent="0.35">
      <c r="A127" t="s">
        <v>25</v>
      </c>
      <c r="B127" t="s">
        <v>12</v>
      </c>
      <c r="C127">
        <v>32</v>
      </c>
      <c r="D127" t="s">
        <v>229</v>
      </c>
    </row>
    <row r="128" spans="1:4" x14ac:dyDescent="0.35">
      <c r="A128" t="s">
        <v>25</v>
      </c>
      <c r="B128" t="s">
        <v>13</v>
      </c>
      <c r="C128">
        <v>210</v>
      </c>
      <c r="D128" t="s">
        <v>231</v>
      </c>
    </row>
    <row r="129" spans="1:4" x14ac:dyDescent="0.35">
      <c r="A129" t="s">
        <v>25</v>
      </c>
      <c r="B129" t="s">
        <v>14</v>
      </c>
      <c r="C129">
        <v>135</v>
      </c>
      <c r="D129" t="s">
        <v>231</v>
      </c>
    </row>
    <row r="130" spans="1:4" x14ac:dyDescent="0.35">
      <c r="A130" t="s">
        <v>25</v>
      </c>
      <c r="B130" t="s">
        <v>15</v>
      </c>
      <c r="C130">
        <v>40</v>
      </c>
      <c r="D130" t="s">
        <v>230</v>
      </c>
    </row>
    <row r="131" spans="1:4" x14ac:dyDescent="0.35">
      <c r="A131" t="s">
        <v>25</v>
      </c>
      <c r="B131" t="s">
        <v>16</v>
      </c>
      <c r="C131">
        <v>170</v>
      </c>
      <c r="D131" t="s">
        <v>231</v>
      </c>
    </row>
    <row r="132" spans="1:4" x14ac:dyDescent="0.35">
      <c r="A132" t="s">
        <v>26</v>
      </c>
      <c r="B132" t="s">
        <v>4</v>
      </c>
      <c r="C132">
        <v>5.5</v>
      </c>
      <c r="D132" t="s">
        <v>229</v>
      </c>
    </row>
    <row r="133" spans="1:4" x14ac:dyDescent="0.35">
      <c r="A133" t="s">
        <v>26</v>
      </c>
      <c r="B133" t="s">
        <v>5</v>
      </c>
      <c r="C133">
        <v>4.7</v>
      </c>
      <c r="D133" t="s">
        <v>229</v>
      </c>
    </row>
    <row r="134" spans="1:4" x14ac:dyDescent="0.35">
      <c r="A134" t="s">
        <v>26</v>
      </c>
      <c r="B134" t="s">
        <v>6</v>
      </c>
      <c r="C134">
        <v>13.9</v>
      </c>
      <c r="D134" t="s">
        <v>229</v>
      </c>
    </row>
    <row r="135" spans="1:4" x14ac:dyDescent="0.35">
      <c r="A135" t="s">
        <v>26</v>
      </c>
      <c r="B135" t="s">
        <v>7</v>
      </c>
      <c r="C135">
        <v>41.5</v>
      </c>
      <c r="D135" t="s">
        <v>229</v>
      </c>
    </row>
    <row r="136" spans="1:4" x14ac:dyDescent="0.35">
      <c r="A136" t="s">
        <v>26</v>
      </c>
      <c r="B136" t="s">
        <v>8</v>
      </c>
      <c r="C136">
        <v>295</v>
      </c>
      <c r="D136" t="s">
        <v>229</v>
      </c>
    </row>
    <row r="137" spans="1:4" x14ac:dyDescent="0.35">
      <c r="A137" t="s">
        <v>26</v>
      </c>
      <c r="B137" t="s">
        <v>9</v>
      </c>
      <c r="C137">
        <v>82</v>
      </c>
      <c r="D137" t="s">
        <v>229</v>
      </c>
    </row>
    <row r="138" spans="1:4" x14ac:dyDescent="0.35">
      <c r="A138" t="s">
        <v>26</v>
      </c>
      <c r="B138" t="s">
        <v>10</v>
      </c>
      <c r="C138">
        <v>0.7</v>
      </c>
      <c r="D138" t="s">
        <v>229</v>
      </c>
    </row>
    <row r="139" spans="1:4" x14ac:dyDescent="0.35">
      <c r="A139" t="s">
        <v>26</v>
      </c>
      <c r="B139" t="s">
        <v>11</v>
      </c>
      <c r="C139">
        <v>16</v>
      </c>
      <c r="D139" t="s">
        <v>229</v>
      </c>
    </row>
    <row r="140" spans="1:4" x14ac:dyDescent="0.35">
      <c r="A140" t="s">
        <v>26</v>
      </c>
      <c r="B140" t="s">
        <v>12</v>
      </c>
      <c r="C140">
        <v>14</v>
      </c>
      <c r="D140" t="s">
        <v>229</v>
      </c>
    </row>
    <row r="141" spans="1:4" x14ac:dyDescent="0.35">
      <c r="A141" t="s">
        <v>26</v>
      </c>
      <c r="B141" t="s">
        <v>13</v>
      </c>
      <c r="C141">
        <v>165</v>
      </c>
      <c r="D141" t="s">
        <v>229</v>
      </c>
    </row>
    <row r="142" spans="1:4" x14ac:dyDescent="0.35">
      <c r="A142" t="s">
        <v>26</v>
      </c>
      <c r="B142" t="s">
        <v>14</v>
      </c>
      <c r="C142">
        <v>90</v>
      </c>
      <c r="D142" t="s">
        <v>229</v>
      </c>
    </row>
    <row r="143" spans="1:4" x14ac:dyDescent="0.35">
      <c r="A143" t="s">
        <v>26</v>
      </c>
      <c r="B143" t="s">
        <v>15</v>
      </c>
      <c r="C143">
        <v>65</v>
      </c>
      <c r="D143" t="s">
        <v>230</v>
      </c>
    </row>
    <row r="144" spans="1:4" x14ac:dyDescent="0.35">
      <c r="A144" t="s">
        <v>26</v>
      </c>
      <c r="B144" t="s">
        <v>16</v>
      </c>
      <c r="C144">
        <v>80</v>
      </c>
      <c r="D144" t="s">
        <v>229</v>
      </c>
    </row>
    <row r="145" spans="1:4" x14ac:dyDescent="0.35">
      <c r="A145" t="s">
        <v>27</v>
      </c>
      <c r="B145" t="s">
        <v>4</v>
      </c>
      <c r="C145">
        <v>6.9</v>
      </c>
      <c r="D145" t="s">
        <v>229</v>
      </c>
    </row>
    <row r="146" spans="1:4" x14ac:dyDescent="0.35">
      <c r="A146" t="s">
        <v>27</v>
      </c>
      <c r="B146" t="s">
        <v>5</v>
      </c>
      <c r="C146">
        <v>4.5</v>
      </c>
      <c r="D146" t="s">
        <v>229</v>
      </c>
    </row>
    <row r="147" spans="1:4" x14ac:dyDescent="0.35">
      <c r="A147" t="s">
        <v>27</v>
      </c>
      <c r="B147" t="s">
        <v>6</v>
      </c>
      <c r="C147">
        <v>13.8</v>
      </c>
      <c r="D147" t="s">
        <v>229</v>
      </c>
    </row>
    <row r="148" spans="1:4" x14ac:dyDescent="0.35">
      <c r="A148" t="s">
        <v>27</v>
      </c>
      <c r="B148" t="s">
        <v>7</v>
      </c>
      <c r="C148">
        <v>41</v>
      </c>
      <c r="D148" t="s">
        <v>229</v>
      </c>
    </row>
    <row r="149" spans="1:4" x14ac:dyDescent="0.35">
      <c r="A149" t="s">
        <v>27</v>
      </c>
      <c r="B149" t="s">
        <v>8</v>
      </c>
      <c r="C149">
        <v>245</v>
      </c>
      <c r="D149" t="s">
        <v>229</v>
      </c>
    </row>
    <row r="150" spans="1:4" x14ac:dyDescent="0.35">
      <c r="A150" t="s">
        <v>27</v>
      </c>
      <c r="B150" t="s">
        <v>9</v>
      </c>
      <c r="C150">
        <v>97</v>
      </c>
      <c r="D150" t="s">
        <v>229</v>
      </c>
    </row>
    <row r="151" spans="1:4" x14ac:dyDescent="0.35">
      <c r="A151" t="s">
        <v>27</v>
      </c>
      <c r="B151" t="s">
        <v>10</v>
      </c>
      <c r="C151">
        <v>0.9</v>
      </c>
      <c r="D151" t="s">
        <v>229</v>
      </c>
    </row>
    <row r="152" spans="1:4" x14ac:dyDescent="0.35">
      <c r="A152" t="s">
        <v>27</v>
      </c>
      <c r="B152" t="s">
        <v>11</v>
      </c>
      <c r="C152">
        <v>28</v>
      </c>
      <c r="D152" t="s">
        <v>229</v>
      </c>
    </row>
    <row r="153" spans="1:4" x14ac:dyDescent="0.35">
      <c r="A153" t="s">
        <v>27</v>
      </c>
      <c r="B153" t="s">
        <v>12</v>
      </c>
      <c r="C153">
        <v>25</v>
      </c>
      <c r="D153" t="s">
        <v>229</v>
      </c>
    </row>
    <row r="154" spans="1:4" x14ac:dyDescent="0.35">
      <c r="A154" t="s">
        <v>27</v>
      </c>
      <c r="B154" t="s">
        <v>13</v>
      </c>
      <c r="C154">
        <v>198</v>
      </c>
      <c r="D154" t="s">
        <v>229</v>
      </c>
    </row>
    <row r="155" spans="1:4" x14ac:dyDescent="0.35">
      <c r="A155" t="s">
        <v>27</v>
      </c>
      <c r="B155" t="s">
        <v>14</v>
      </c>
      <c r="C155">
        <v>132</v>
      </c>
      <c r="D155" t="s">
        <v>231</v>
      </c>
    </row>
    <row r="156" spans="1:4" x14ac:dyDescent="0.35">
      <c r="A156" t="s">
        <v>27</v>
      </c>
      <c r="B156" t="s">
        <v>15</v>
      </c>
      <c r="C156">
        <v>48</v>
      </c>
      <c r="D156" t="s">
        <v>230</v>
      </c>
    </row>
    <row r="157" spans="1:4" x14ac:dyDescent="0.35">
      <c r="A157" t="s">
        <v>27</v>
      </c>
      <c r="B157" t="s">
        <v>16</v>
      </c>
      <c r="C157">
        <v>158</v>
      </c>
      <c r="D157" t="s">
        <v>231</v>
      </c>
    </row>
    <row r="158" spans="1:4" x14ac:dyDescent="0.35">
      <c r="A158" t="s">
        <v>28</v>
      </c>
      <c r="B158" t="s">
        <v>4</v>
      </c>
      <c r="C158">
        <v>5.2</v>
      </c>
      <c r="D158" t="s">
        <v>229</v>
      </c>
    </row>
    <row r="159" spans="1:4" x14ac:dyDescent="0.35">
      <c r="A159" t="s">
        <v>28</v>
      </c>
      <c r="B159" t="s">
        <v>5</v>
      </c>
      <c r="C159">
        <v>3.6</v>
      </c>
      <c r="D159" t="s">
        <v>232</v>
      </c>
    </row>
    <row r="160" spans="1:4" x14ac:dyDescent="0.35">
      <c r="A160" t="s">
        <v>28</v>
      </c>
      <c r="B160" t="s">
        <v>6</v>
      </c>
      <c r="C160">
        <v>10.1</v>
      </c>
      <c r="D160" t="s">
        <v>232</v>
      </c>
    </row>
    <row r="161" spans="1:4" x14ac:dyDescent="0.35">
      <c r="A161" t="s">
        <v>28</v>
      </c>
      <c r="B161" t="s">
        <v>7</v>
      </c>
      <c r="C161">
        <v>30.5</v>
      </c>
      <c r="D161" t="s">
        <v>232</v>
      </c>
    </row>
    <row r="162" spans="1:4" x14ac:dyDescent="0.35">
      <c r="A162" t="s">
        <v>28</v>
      </c>
      <c r="B162" t="s">
        <v>8</v>
      </c>
      <c r="C162">
        <v>168</v>
      </c>
      <c r="D162" t="s">
        <v>229</v>
      </c>
    </row>
    <row r="163" spans="1:4" x14ac:dyDescent="0.35">
      <c r="A163" t="s">
        <v>28</v>
      </c>
      <c r="B163" t="s">
        <v>9</v>
      </c>
      <c r="C163">
        <v>115</v>
      </c>
      <c r="D163" t="s">
        <v>231</v>
      </c>
    </row>
    <row r="164" spans="1:4" x14ac:dyDescent="0.35">
      <c r="A164" t="s">
        <v>28</v>
      </c>
      <c r="B164" t="s">
        <v>10</v>
      </c>
      <c r="C164">
        <v>1.3</v>
      </c>
      <c r="D164" t="s">
        <v>231</v>
      </c>
    </row>
    <row r="165" spans="1:4" x14ac:dyDescent="0.35">
      <c r="A165" t="s">
        <v>28</v>
      </c>
      <c r="B165" t="s">
        <v>11</v>
      </c>
      <c r="C165">
        <v>35</v>
      </c>
      <c r="D165" t="s">
        <v>229</v>
      </c>
    </row>
    <row r="166" spans="1:4" x14ac:dyDescent="0.35">
      <c r="A166" t="s">
        <v>28</v>
      </c>
      <c r="B166" t="s">
        <v>12</v>
      </c>
      <c r="C166">
        <v>30</v>
      </c>
      <c r="D166" t="s">
        <v>229</v>
      </c>
    </row>
    <row r="167" spans="1:4" x14ac:dyDescent="0.35">
      <c r="A167" t="s">
        <v>28</v>
      </c>
      <c r="B167" t="s">
        <v>13</v>
      </c>
      <c r="C167">
        <v>242</v>
      </c>
      <c r="D167" t="s">
        <v>231</v>
      </c>
    </row>
    <row r="168" spans="1:4" x14ac:dyDescent="0.35">
      <c r="A168" t="s">
        <v>28</v>
      </c>
      <c r="B168" t="s">
        <v>14</v>
      </c>
      <c r="C168">
        <v>155</v>
      </c>
      <c r="D168" t="s">
        <v>231</v>
      </c>
    </row>
    <row r="169" spans="1:4" x14ac:dyDescent="0.35">
      <c r="A169" t="s">
        <v>28</v>
      </c>
      <c r="B169" t="s">
        <v>15</v>
      </c>
      <c r="C169">
        <v>37</v>
      </c>
      <c r="D169" t="s">
        <v>232</v>
      </c>
    </row>
    <row r="170" spans="1:4" x14ac:dyDescent="0.35">
      <c r="A170" t="s">
        <v>28</v>
      </c>
      <c r="B170" t="s">
        <v>16</v>
      </c>
      <c r="C170">
        <v>188</v>
      </c>
      <c r="D170" t="s">
        <v>231</v>
      </c>
    </row>
    <row r="171" spans="1:4" x14ac:dyDescent="0.35">
      <c r="A171" t="s">
        <v>29</v>
      </c>
      <c r="B171" t="s">
        <v>4</v>
      </c>
      <c r="C171">
        <v>7.2</v>
      </c>
      <c r="D171" t="s">
        <v>229</v>
      </c>
    </row>
    <row r="172" spans="1:4" x14ac:dyDescent="0.35">
      <c r="A172" t="s">
        <v>29</v>
      </c>
      <c r="B172" t="s">
        <v>5</v>
      </c>
      <c r="C172">
        <v>4.8</v>
      </c>
      <c r="D172" t="s">
        <v>229</v>
      </c>
    </row>
    <row r="173" spans="1:4" x14ac:dyDescent="0.35">
      <c r="A173" t="s">
        <v>29</v>
      </c>
      <c r="B173" t="s">
        <v>6</v>
      </c>
      <c r="C173">
        <v>15.1</v>
      </c>
      <c r="D173" t="s">
        <v>229</v>
      </c>
    </row>
    <row r="174" spans="1:4" x14ac:dyDescent="0.35">
      <c r="A174" t="s">
        <v>29</v>
      </c>
      <c r="B174" t="s">
        <v>7</v>
      </c>
      <c r="C174">
        <v>44</v>
      </c>
      <c r="D174" t="s">
        <v>229</v>
      </c>
    </row>
    <row r="175" spans="1:4" x14ac:dyDescent="0.35">
      <c r="A175" t="s">
        <v>29</v>
      </c>
      <c r="B175" t="s">
        <v>8</v>
      </c>
      <c r="C175">
        <v>255</v>
      </c>
      <c r="D175" t="s">
        <v>229</v>
      </c>
    </row>
    <row r="176" spans="1:4" x14ac:dyDescent="0.35">
      <c r="A176" t="s">
        <v>29</v>
      </c>
      <c r="B176" t="s">
        <v>9</v>
      </c>
      <c r="C176">
        <v>93</v>
      </c>
      <c r="D176" t="s">
        <v>229</v>
      </c>
    </row>
    <row r="177" spans="1:4" x14ac:dyDescent="0.35">
      <c r="A177" t="s">
        <v>29</v>
      </c>
      <c r="B177" t="s">
        <v>10</v>
      </c>
      <c r="C177">
        <v>1</v>
      </c>
      <c r="D177" t="s">
        <v>229</v>
      </c>
    </row>
    <row r="178" spans="1:4" x14ac:dyDescent="0.35">
      <c r="A178" t="s">
        <v>29</v>
      </c>
      <c r="B178" t="s">
        <v>11</v>
      </c>
      <c r="C178">
        <v>29</v>
      </c>
      <c r="D178" t="s">
        <v>229</v>
      </c>
    </row>
    <row r="179" spans="1:4" x14ac:dyDescent="0.35">
      <c r="A179" t="s">
        <v>29</v>
      </c>
      <c r="B179" t="s">
        <v>12</v>
      </c>
      <c r="C179">
        <v>26</v>
      </c>
      <c r="D179" t="s">
        <v>229</v>
      </c>
    </row>
    <row r="180" spans="1:4" x14ac:dyDescent="0.35">
      <c r="A180" t="s">
        <v>29</v>
      </c>
      <c r="B180" t="s">
        <v>13</v>
      </c>
      <c r="C180">
        <v>182</v>
      </c>
      <c r="D180" t="s">
        <v>229</v>
      </c>
    </row>
    <row r="181" spans="1:4" x14ac:dyDescent="0.35">
      <c r="A181" t="s">
        <v>29</v>
      </c>
      <c r="B181" t="s">
        <v>14</v>
      </c>
      <c r="C181">
        <v>108</v>
      </c>
      <c r="D181" t="s">
        <v>229</v>
      </c>
    </row>
    <row r="182" spans="1:4" x14ac:dyDescent="0.35">
      <c r="A182" t="s">
        <v>29</v>
      </c>
      <c r="B182" t="s">
        <v>15</v>
      </c>
      <c r="C182">
        <v>53</v>
      </c>
      <c r="D182" t="s">
        <v>230</v>
      </c>
    </row>
    <row r="183" spans="1:4" x14ac:dyDescent="0.35">
      <c r="A183" t="s">
        <v>29</v>
      </c>
      <c r="B183" t="s">
        <v>16</v>
      </c>
      <c r="C183">
        <v>115</v>
      </c>
      <c r="D183" t="s">
        <v>229</v>
      </c>
    </row>
    <row r="184" spans="1:4" x14ac:dyDescent="0.35">
      <c r="A184" t="s">
        <v>30</v>
      </c>
      <c r="B184" t="s">
        <v>4</v>
      </c>
      <c r="C184">
        <v>6.8</v>
      </c>
      <c r="D184" t="s">
        <v>229</v>
      </c>
    </row>
    <row r="185" spans="1:4" x14ac:dyDescent="0.35">
      <c r="A185" t="s">
        <v>30</v>
      </c>
      <c r="B185" t="s">
        <v>5</v>
      </c>
      <c r="C185">
        <v>4.3</v>
      </c>
      <c r="D185" t="s">
        <v>229</v>
      </c>
    </row>
    <row r="186" spans="1:4" x14ac:dyDescent="0.35">
      <c r="A186" t="s">
        <v>30</v>
      </c>
      <c r="B186" t="s">
        <v>6</v>
      </c>
      <c r="C186">
        <v>13</v>
      </c>
      <c r="D186" t="s">
        <v>229</v>
      </c>
    </row>
    <row r="187" spans="1:4" x14ac:dyDescent="0.35">
      <c r="A187" t="s">
        <v>30</v>
      </c>
      <c r="B187" t="s">
        <v>7</v>
      </c>
      <c r="C187">
        <v>39</v>
      </c>
      <c r="D187" t="s">
        <v>229</v>
      </c>
    </row>
    <row r="188" spans="1:4" x14ac:dyDescent="0.35">
      <c r="A188" t="s">
        <v>30</v>
      </c>
      <c r="B188" t="s">
        <v>8</v>
      </c>
      <c r="C188">
        <v>215</v>
      </c>
      <c r="D188" t="s">
        <v>229</v>
      </c>
    </row>
    <row r="189" spans="1:4" x14ac:dyDescent="0.35">
      <c r="A189" t="s">
        <v>30</v>
      </c>
      <c r="B189" t="s">
        <v>9</v>
      </c>
      <c r="C189">
        <v>106</v>
      </c>
      <c r="D189" t="s">
        <v>231</v>
      </c>
    </row>
    <row r="190" spans="1:4" x14ac:dyDescent="0.35">
      <c r="A190" t="s">
        <v>30</v>
      </c>
      <c r="B190" t="s">
        <v>10</v>
      </c>
      <c r="C190">
        <v>1</v>
      </c>
      <c r="D190" t="s">
        <v>229</v>
      </c>
    </row>
    <row r="191" spans="1:4" x14ac:dyDescent="0.35">
      <c r="A191" t="s">
        <v>30</v>
      </c>
      <c r="B191" t="s">
        <v>11</v>
      </c>
      <c r="C191">
        <v>72</v>
      </c>
      <c r="D191" t="s">
        <v>231</v>
      </c>
    </row>
    <row r="192" spans="1:4" x14ac:dyDescent="0.35">
      <c r="A192" t="s">
        <v>30</v>
      </c>
      <c r="B192" t="s">
        <v>12</v>
      </c>
      <c r="C192">
        <v>65</v>
      </c>
      <c r="D192" t="s">
        <v>231</v>
      </c>
    </row>
    <row r="193" spans="1:4" x14ac:dyDescent="0.35">
      <c r="A193" t="s">
        <v>30</v>
      </c>
      <c r="B193" t="s">
        <v>13</v>
      </c>
      <c r="C193">
        <v>205</v>
      </c>
      <c r="D193" t="s">
        <v>231</v>
      </c>
    </row>
    <row r="194" spans="1:4" x14ac:dyDescent="0.35">
      <c r="A194" t="s">
        <v>30</v>
      </c>
      <c r="B194" t="s">
        <v>14</v>
      </c>
      <c r="C194">
        <v>128</v>
      </c>
      <c r="D194" t="s">
        <v>229</v>
      </c>
    </row>
    <row r="195" spans="1:4" x14ac:dyDescent="0.35">
      <c r="A195" t="s">
        <v>30</v>
      </c>
      <c r="B195" t="s">
        <v>15</v>
      </c>
      <c r="C195">
        <v>45</v>
      </c>
      <c r="D195" t="s">
        <v>230</v>
      </c>
    </row>
    <row r="196" spans="1:4" x14ac:dyDescent="0.35">
      <c r="A196" t="s">
        <v>30</v>
      </c>
      <c r="B196" t="s">
        <v>16</v>
      </c>
      <c r="C196">
        <v>162</v>
      </c>
      <c r="D196" t="s">
        <v>231</v>
      </c>
    </row>
    <row r="197" spans="1:4" x14ac:dyDescent="0.35">
      <c r="A197" t="s">
        <v>31</v>
      </c>
      <c r="B197" t="s">
        <v>4</v>
      </c>
      <c r="C197">
        <v>7.5</v>
      </c>
      <c r="D197" t="s">
        <v>229</v>
      </c>
    </row>
    <row r="198" spans="1:4" x14ac:dyDescent="0.35">
      <c r="A198" t="s">
        <v>31</v>
      </c>
      <c r="B198" t="s">
        <v>5</v>
      </c>
      <c r="C198">
        <v>6.2</v>
      </c>
      <c r="D198" t="s">
        <v>231</v>
      </c>
    </row>
    <row r="199" spans="1:4" x14ac:dyDescent="0.35">
      <c r="A199" t="s">
        <v>31</v>
      </c>
      <c r="B199" t="s">
        <v>6</v>
      </c>
      <c r="C199">
        <v>18.5</v>
      </c>
      <c r="D199" t="s">
        <v>231</v>
      </c>
    </row>
    <row r="200" spans="1:4" x14ac:dyDescent="0.35">
      <c r="A200" t="s">
        <v>31</v>
      </c>
      <c r="B200" t="s">
        <v>7</v>
      </c>
      <c r="C200">
        <v>55.5</v>
      </c>
      <c r="D200" t="s">
        <v>231</v>
      </c>
    </row>
    <row r="201" spans="1:4" x14ac:dyDescent="0.35">
      <c r="A201" t="s">
        <v>31</v>
      </c>
      <c r="B201" t="s">
        <v>8</v>
      </c>
      <c r="C201">
        <v>265</v>
      </c>
      <c r="D201" t="s">
        <v>229</v>
      </c>
    </row>
    <row r="202" spans="1:4" x14ac:dyDescent="0.35">
      <c r="A202" t="s">
        <v>31</v>
      </c>
      <c r="B202" t="s">
        <v>9</v>
      </c>
      <c r="C202">
        <v>99</v>
      </c>
      <c r="D202" t="s">
        <v>229</v>
      </c>
    </row>
    <row r="203" spans="1:4" x14ac:dyDescent="0.35">
      <c r="A203" t="s">
        <v>31</v>
      </c>
      <c r="B203" t="s">
        <v>10</v>
      </c>
      <c r="C203">
        <v>1</v>
      </c>
      <c r="D203" t="s">
        <v>229</v>
      </c>
    </row>
    <row r="204" spans="1:4" x14ac:dyDescent="0.35">
      <c r="A204" t="s">
        <v>31</v>
      </c>
      <c r="B204" t="s">
        <v>11</v>
      </c>
      <c r="C204">
        <v>30</v>
      </c>
      <c r="D204" t="s">
        <v>229</v>
      </c>
    </row>
    <row r="205" spans="1:4" x14ac:dyDescent="0.35">
      <c r="A205" t="s">
        <v>31</v>
      </c>
      <c r="B205" t="s">
        <v>12</v>
      </c>
      <c r="C205">
        <v>28</v>
      </c>
      <c r="D205" t="s">
        <v>229</v>
      </c>
    </row>
    <row r="206" spans="1:4" x14ac:dyDescent="0.35">
      <c r="A206" t="s">
        <v>31</v>
      </c>
      <c r="B206" t="s">
        <v>13</v>
      </c>
      <c r="C206">
        <v>195</v>
      </c>
      <c r="D206" t="s">
        <v>229</v>
      </c>
    </row>
    <row r="207" spans="1:4" x14ac:dyDescent="0.35">
      <c r="A207" t="s">
        <v>31</v>
      </c>
      <c r="B207" t="s">
        <v>14</v>
      </c>
      <c r="C207">
        <v>115</v>
      </c>
      <c r="D207" t="s">
        <v>229</v>
      </c>
    </row>
    <row r="208" spans="1:4" x14ac:dyDescent="0.35">
      <c r="A208" t="s">
        <v>31</v>
      </c>
      <c r="B208" t="s">
        <v>15</v>
      </c>
      <c r="C208">
        <v>50</v>
      </c>
      <c r="D208" t="s">
        <v>230</v>
      </c>
    </row>
    <row r="209" spans="1:4" x14ac:dyDescent="0.35">
      <c r="A209" t="s">
        <v>31</v>
      </c>
      <c r="B209" t="s">
        <v>16</v>
      </c>
      <c r="C209">
        <v>130</v>
      </c>
      <c r="D209" t="s">
        <v>229</v>
      </c>
    </row>
    <row r="210" spans="1:4" x14ac:dyDescent="0.35">
      <c r="A210" t="s">
        <v>32</v>
      </c>
      <c r="B210" t="s">
        <v>4</v>
      </c>
      <c r="C210">
        <v>6</v>
      </c>
      <c r="D210" t="s">
        <v>229</v>
      </c>
    </row>
    <row r="211" spans="1:4" x14ac:dyDescent="0.35">
      <c r="A211" t="s">
        <v>32</v>
      </c>
      <c r="B211" t="s">
        <v>5</v>
      </c>
      <c r="C211">
        <v>4.5</v>
      </c>
      <c r="D211" t="s">
        <v>229</v>
      </c>
    </row>
    <row r="212" spans="1:4" x14ac:dyDescent="0.35">
      <c r="A212" t="s">
        <v>32</v>
      </c>
      <c r="B212" t="s">
        <v>6</v>
      </c>
      <c r="C212">
        <v>13.5</v>
      </c>
      <c r="D212" t="s">
        <v>229</v>
      </c>
    </row>
    <row r="213" spans="1:4" x14ac:dyDescent="0.35">
      <c r="A213" t="s">
        <v>32</v>
      </c>
      <c r="B213" t="s">
        <v>7</v>
      </c>
      <c r="C213">
        <v>40.5</v>
      </c>
      <c r="D213" t="s">
        <v>229</v>
      </c>
    </row>
    <row r="214" spans="1:4" x14ac:dyDescent="0.35">
      <c r="A214" t="s">
        <v>32</v>
      </c>
      <c r="B214" t="s">
        <v>8</v>
      </c>
      <c r="C214">
        <v>270</v>
      </c>
      <c r="D214" t="s">
        <v>229</v>
      </c>
    </row>
    <row r="215" spans="1:4" x14ac:dyDescent="0.35">
      <c r="A215" t="s">
        <v>32</v>
      </c>
      <c r="B215" t="s">
        <v>9</v>
      </c>
      <c r="C215">
        <v>87</v>
      </c>
      <c r="D215" t="s">
        <v>229</v>
      </c>
    </row>
    <row r="216" spans="1:4" x14ac:dyDescent="0.35">
      <c r="A216" t="s">
        <v>32</v>
      </c>
      <c r="B216" t="s">
        <v>10</v>
      </c>
      <c r="C216">
        <v>0.8</v>
      </c>
      <c r="D216" t="s">
        <v>229</v>
      </c>
    </row>
    <row r="217" spans="1:4" x14ac:dyDescent="0.35">
      <c r="A217" t="s">
        <v>32</v>
      </c>
      <c r="B217" t="s">
        <v>11</v>
      </c>
      <c r="C217">
        <v>20</v>
      </c>
      <c r="D217" t="s">
        <v>229</v>
      </c>
    </row>
    <row r="218" spans="1:4" x14ac:dyDescent="0.35">
      <c r="A218" t="s">
        <v>32</v>
      </c>
      <c r="B218" t="s">
        <v>12</v>
      </c>
      <c r="C218">
        <v>18</v>
      </c>
      <c r="D218" t="s">
        <v>229</v>
      </c>
    </row>
    <row r="219" spans="1:4" x14ac:dyDescent="0.35">
      <c r="A219" t="s">
        <v>32</v>
      </c>
      <c r="B219" t="s">
        <v>13</v>
      </c>
      <c r="C219">
        <v>175</v>
      </c>
      <c r="D219" t="s">
        <v>229</v>
      </c>
    </row>
    <row r="220" spans="1:4" x14ac:dyDescent="0.35">
      <c r="A220" t="s">
        <v>32</v>
      </c>
      <c r="B220" t="s">
        <v>14</v>
      </c>
      <c r="C220">
        <v>100</v>
      </c>
      <c r="D220" t="s">
        <v>229</v>
      </c>
    </row>
    <row r="221" spans="1:4" x14ac:dyDescent="0.35">
      <c r="A221" t="s">
        <v>32</v>
      </c>
      <c r="B221" t="s">
        <v>15</v>
      </c>
      <c r="C221">
        <v>60</v>
      </c>
      <c r="D221" t="s">
        <v>230</v>
      </c>
    </row>
    <row r="222" spans="1:4" x14ac:dyDescent="0.35">
      <c r="A222" t="s">
        <v>32</v>
      </c>
      <c r="B222" t="s">
        <v>16</v>
      </c>
      <c r="C222">
        <v>90</v>
      </c>
      <c r="D222" t="s">
        <v>229</v>
      </c>
    </row>
    <row r="223" spans="1:4" x14ac:dyDescent="0.35">
      <c r="A223" t="s">
        <v>33</v>
      </c>
      <c r="B223" t="s">
        <v>4</v>
      </c>
      <c r="C223">
        <v>7.8</v>
      </c>
      <c r="D223" t="s">
        <v>229</v>
      </c>
    </row>
    <row r="224" spans="1:4" x14ac:dyDescent="0.35">
      <c r="A224" t="s">
        <v>33</v>
      </c>
      <c r="B224" t="s">
        <v>5</v>
      </c>
      <c r="C224">
        <v>4.0999999999999996</v>
      </c>
      <c r="D224" t="s">
        <v>229</v>
      </c>
    </row>
    <row r="225" spans="1:4" x14ac:dyDescent="0.35">
      <c r="A225" t="s">
        <v>33</v>
      </c>
      <c r="B225" t="s">
        <v>6</v>
      </c>
      <c r="C225">
        <v>12.8</v>
      </c>
      <c r="D225" t="s">
        <v>229</v>
      </c>
    </row>
    <row r="226" spans="1:4" x14ac:dyDescent="0.35">
      <c r="A226" t="s">
        <v>33</v>
      </c>
      <c r="B226" t="s">
        <v>7</v>
      </c>
      <c r="C226">
        <v>38.5</v>
      </c>
      <c r="D226" t="s">
        <v>229</v>
      </c>
    </row>
    <row r="227" spans="1:4" x14ac:dyDescent="0.35">
      <c r="A227" t="s">
        <v>33</v>
      </c>
      <c r="B227" t="s">
        <v>8</v>
      </c>
      <c r="C227">
        <v>195</v>
      </c>
      <c r="D227" t="s">
        <v>229</v>
      </c>
    </row>
    <row r="228" spans="1:4" x14ac:dyDescent="0.35">
      <c r="A228" t="s">
        <v>33</v>
      </c>
      <c r="B228" t="s">
        <v>9</v>
      </c>
      <c r="C228">
        <v>165</v>
      </c>
      <c r="D228" t="s">
        <v>231</v>
      </c>
    </row>
    <row r="229" spans="1:4" x14ac:dyDescent="0.35">
      <c r="A229" t="s">
        <v>33</v>
      </c>
      <c r="B229" t="s">
        <v>10</v>
      </c>
      <c r="C229">
        <v>1.9</v>
      </c>
      <c r="D229" t="s">
        <v>231</v>
      </c>
    </row>
    <row r="230" spans="1:4" x14ac:dyDescent="0.35">
      <c r="A230" t="s">
        <v>33</v>
      </c>
      <c r="B230" t="s">
        <v>11</v>
      </c>
      <c r="C230">
        <v>42</v>
      </c>
      <c r="D230" t="s">
        <v>229</v>
      </c>
    </row>
    <row r="231" spans="1:4" x14ac:dyDescent="0.35">
      <c r="A231" t="s">
        <v>33</v>
      </c>
      <c r="B231" t="s">
        <v>12</v>
      </c>
      <c r="C231">
        <v>38</v>
      </c>
      <c r="D231" t="s">
        <v>229</v>
      </c>
    </row>
    <row r="232" spans="1:4" x14ac:dyDescent="0.35">
      <c r="A232" t="s">
        <v>33</v>
      </c>
      <c r="B232" t="s">
        <v>13</v>
      </c>
      <c r="C232">
        <v>252</v>
      </c>
      <c r="D232" t="s">
        <v>231</v>
      </c>
    </row>
    <row r="233" spans="1:4" x14ac:dyDescent="0.35">
      <c r="A233" t="s">
        <v>33</v>
      </c>
      <c r="B233" t="s">
        <v>14</v>
      </c>
      <c r="C233">
        <v>168</v>
      </c>
      <c r="D233" t="s">
        <v>231</v>
      </c>
    </row>
    <row r="234" spans="1:4" x14ac:dyDescent="0.35">
      <c r="A234" t="s">
        <v>33</v>
      </c>
      <c r="B234" t="s">
        <v>15</v>
      </c>
      <c r="C234">
        <v>35</v>
      </c>
      <c r="D234" t="s">
        <v>232</v>
      </c>
    </row>
    <row r="235" spans="1:4" x14ac:dyDescent="0.35">
      <c r="A235" t="s">
        <v>33</v>
      </c>
      <c r="B235" t="s">
        <v>16</v>
      </c>
      <c r="C235">
        <v>232</v>
      </c>
      <c r="D235" t="s">
        <v>231</v>
      </c>
    </row>
    <row r="236" spans="1:4" x14ac:dyDescent="0.35">
      <c r="A236" t="s">
        <v>34</v>
      </c>
      <c r="B236" t="s">
        <v>4</v>
      </c>
      <c r="C236">
        <v>5.9</v>
      </c>
      <c r="D236" t="s">
        <v>229</v>
      </c>
    </row>
    <row r="237" spans="1:4" x14ac:dyDescent="0.35">
      <c r="A237" t="s">
        <v>34</v>
      </c>
      <c r="B237" t="s">
        <v>5</v>
      </c>
      <c r="C237">
        <v>3.4</v>
      </c>
      <c r="D237" t="s">
        <v>232</v>
      </c>
    </row>
    <row r="238" spans="1:4" x14ac:dyDescent="0.35">
      <c r="A238" t="s">
        <v>34</v>
      </c>
      <c r="B238" t="s">
        <v>6</v>
      </c>
      <c r="C238">
        <v>9.5</v>
      </c>
      <c r="D238" t="s">
        <v>232</v>
      </c>
    </row>
    <row r="239" spans="1:4" x14ac:dyDescent="0.35">
      <c r="A239" t="s">
        <v>34</v>
      </c>
      <c r="B239" t="s">
        <v>7</v>
      </c>
      <c r="C239">
        <v>28.8</v>
      </c>
      <c r="D239" t="s">
        <v>232</v>
      </c>
    </row>
    <row r="240" spans="1:4" x14ac:dyDescent="0.35">
      <c r="A240" t="s">
        <v>34</v>
      </c>
      <c r="B240" t="s">
        <v>8</v>
      </c>
      <c r="C240">
        <v>235</v>
      </c>
      <c r="D240" t="s">
        <v>229</v>
      </c>
    </row>
    <row r="241" spans="1:4" x14ac:dyDescent="0.35">
      <c r="A241" t="s">
        <v>34</v>
      </c>
      <c r="B241" t="s">
        <v>9</v>
      </c>
      <c r="C241">
        <v>105</v>
      </c>
      <c r="D241" t="s">
        <v>231</v>
      </c>
    </row>
    <row r="242" spans="1:4" x14ac:dyDescent="0.35">
      <c r="A242" t="s">
        <v>34</v>
      </c>
      <c r="B242" t="s">
        <v>10</v>
      </c>
      <c r="C242">
        <v>0.8</v>
      </c>
      <c r="D242" t="s">
        <v>229</v>
      </c>
    </row>
    <row r="243" spans="1:4" x14ac:dyDescent="0.35">
      <c r="A243" t="s">
        <v>34</v>
      </c>
      <c r="B243" t="s">
        <v>11</v>
      </c>
      <c r="C243">
        <v>22</v>
      </c>
      <c r="D243" t="s">
        <v>229</v>
      </c>
    </row>
    <row r="244" spans="1:4" x14ac:dyDescent="0.35">
      <c r="A244" t="s">
        <v>34</v>
      </c>
      <c r="B244" t="s">
        <v>12</v>
      </c>
      <c r="C244">
        <v>20</v>
      </c>
      <c r="D244" t="s">
        <v>229</v>
      </c>
    </row>
    <row r="245" spans="1:4" x14ac:dyDescent="0.35">
      <c r="A245" t="s">
        <v>34</v>
      </c>
      <c r="B245" t="s">
        <v>13</v>
      </c>
      <c r="C245">
        <v>188</v>
      </c>
      <c r="D245" t="s">
        <v>229</v>
      </c>
    </row>
    <row r="246" spans="1:4" x14ac:dyDescent="0.35">
      <c r="A246" t="s">
        <v>34</v>
      </c>
      <c r="B246" t="s">
        <v>14</v>
      </c>
      <c r="C246">
        <v>112</v>
      </c>
      <c r="D246" t="s">
        <v>229</v>
      </c>
    </row>
    <row r="247" spans="1:4" x14ac:dyDescent="0.35">
      <c r="A247" t="s">
        <v>34</v>
      </c>
      <c r="B247" t="s">
        <v>15</v>
      </c>
      <c r="C247">
        <v>54</v>
      </c>
      <c r="D247" t="s">
        <v>230</v>
      </c>
    </row>
    <row r="248" spans="1:4" x14ac:dyDescent="0.35">
      <c r="A248" t="s">
        <v>34</v>
      </c>
      <c r="B248" t="s">
        <v>16</v>
      </c>
      <c r="C248">
        <v>118</v>
      </c>
      <c r="D248" t="s">
        <v>229</v>
      </c>
    </row>
    <row r="249" spans="1:4" x14ac:dyDescent="0.35">
      <c r="A249" t="s">
        <v>35</v>
      </c>
      <c r="B249" t="s">
        <v>4</v>
      </c>
      <c r="C249">
        <v>8</v>
      </c>
      <c r="D249" t="s">
        <v>229</v>
      </c>
    </row>
    <row r="250" spans="1:4" x14ac:dyDescent="0.35">
      <c r="A250" t="s">
        <v>35</v>
      </c>
      <c r="B250" t="s">
        <v>5</v>
      </c>
      <c r="C250">
        <v>4.2</v>
      </c>
      <c r="D250" t="s">
        <v>229</v>
      </c>
    </row>
    <row r="251" spans="1:4" x14ac:dyDescent="0.35">
      <c r="A251" t="s">
        <v>35</v>
      </c>
      <c r="B251" t="s">
        <v>6</v>
      </c>
      <c r="C251">
        <v>13.2</v>
      </c>
      <c r="D251" t="s">
        <v>229</v>
      </c>
    </row>
    <row r="252" spans="1:4" x14ac:dyDescent="0.35">
      <c r="A252" t="s">
        <v>35</v>
      </c>
      <c r="B252" t="s">
        <v>7</v>
      </c>
      <c r="C252">
        <v>39.799999999999997</v>
      </c>
      <c r="D252" t="s">
        <v>229</v>
      </c>
    </row>
    <row r="253" spans="1:4" x14ac:dyDescent="0.35">
      <c r="A253" t="s">
        <v>35</v>
      </c>
      <c r="B253" t="s">
        <v>8</v>
      </c>
      <c r="C253">
        <v>200</v>
      </c>
      <c r="D253" t="s">
        <v>229</v>
      </c>
    </row>
    <row r="254" spans="1:4" x14ac:dyDescent="0.35">
      <c r="A254" t="s">
        <v>35</v>
      </c>
      <c r="B254" t="s">
        <v>9</v>
      </c>
      <c r="C254">
        <v>122</v>
      </c>
      <c r="D254" t="s">
        <v>231</v>
      </c>
    </row>
    <row r="255" spans="1:4" x14ac:dyDescent="0.35">
      <c r="A255" t="s">
        <v>35</v>
      </c>
      <c r="B255" t="s">
        <v>10</v>
      </c>
      <c r="C255">
        <v>1.2</v>
      </c>
      <c r="D255" t="s">
        <v>229</v>
      </c>
    </row>
    <row r="256" spans="1:4" x14ac:dyDescent="0.35">
      <c r="A256" t="s">
        <v>35</v>
      </c>
      <c r="B256" t="s">
        <v>11</v>
      </c>
      <c r="C256">
        <v>40</v>
      </c>
      <c r="D256" t="s">
        <v>229</v>
      </c>
    </row>
    <row r="257" spans="1:4" x14ac:dyDescent="0.35">
      <c r="A257" t="s">
        <v>35</v>
      </c>
      <c r="B257" t="s">
        <v>12</v>
      </c>
      <c r="C257">
        <v>35</v>
      </c>
      <c r="D257" t="s">
        <v>229</v>
      </c>
    </row>
    <row r="258" spans="1:4" x14ac:dyDescent="0.35">
      <c r="A258" t="s">
        <v>35</v>
      </c>
      <c r="B258" t="s">
        <v>13</v>
      </c>
      <c r="C258">
        <v>258</v>
      </c>
      <c r="D258" t="s">
        <v>231</v>
      </c>
    </row>
    <row r="259" spans="1:4" x14ac:dyDescent="0.35">
      <c r="A259" t="s">
        <v>35</v>
      </c>
      <c r="B259" t="s">
        <v>14</v>
      </c>
      <c r="C259">
        <v>172</v>
      </c>
      <c r="D259" t="s">
        <v>231</v>
      </c>
    </row>
    <row r="260" spans="1:4" x14ac:dyDescent="0.35">
      <c r="A260" t="s">
        <v>35</v>
      </c>
      <c r="B260" t="s">
        <v>15</v>
      </c>
      <c r="C260">
        <v>33</v>
      </c>
      <c r="D260" t="s">
        <v>232</v>
      </c>
    </row>
    <row r="261" spans="1:4" x14ac:dyDescent="0.35">
      <c r="A261" t="s">
        <v>35</v>
      </c>
      <c r="B261" t="s">
        <v>16</v>
      </c>
      <c r="C261">
        <v>245</v>
      </c>
      <c r="D261" t="s">
        <v>231</v>
      </c>
    </row>
    <row r="262" spans="1:4" x14ac:dyDescent="0.35">
      <c r="A262" t="s">
        <v>36</v>
      </c>
      <c r="B262" t="s">
        <v>4</v>
      </c>
      <c r="C262">
        <v>5.7</v>
      </c>
      <c r="D262" t="s">
        <v>229</v>
      </c>
    </row>
    <row r="263" spans="1:4" x14ac:dyDescent="0.35">
      <c r="A263" t="s">
        <v>36</v>
      </c>
      <c r="B263" t="s">
        <v>5</v>
      </c>
      <c r="C263">
        <v>4.5999999999999996</v>
      </c>
      <c r="D263" t="s">
        <v>229</v>
      </c>
    </row>
    <row r="264" spans="1:4" x14ac:dyDescent="0.35">
      <c r="A264" t="s">
        <v>36</v>
      </c>
      <c r="B264" t="s">
        <v>6</v>
      </c>
      <c r="C264">
        <v>13.7</v>
      </c>
      <c r="D264" t="s">
        <v>229</v>
      </c>
    </row>
    <row r="265" spans="1:4" x14ac:dyDescent="0.35">
      <c r="A265" t="s">
        <v>36</v>
      </c>
      <c r="B265" t="s">
        <v>7</v>
      </c>
      <c r="C265">
        <v>41.2</v>
      </c>
      <c r="D265" t="s">
        <v>229</v>
      </c>
    </row>
    <row r="266" spans="1:4" x14ac:dyDescent="0.35">
      <c r="A266" t="s">
        <v>36</v>
      </c>
      <c r="B266" t="s">
        <v>8</v>
      </c>
      <c r="C266">
        <v>285</v>
      </c>
      <c r="D266" t="s">
        <v>229</v>
      </c>
    </row>
    <row r="267" spans="1:4" x14ac:dyDescent="0.35">
      <c r="A267" t="s">
        <v>36</v>
      </c>
      <c r="B267" t="s">
        <v>9</v>
      </c>
      <c r="C267">
        <v>89</v>
      </c>
      <c r="D267" t="s">
        <v>229</v>
      </c>
    </row>
    <row r="268" spans="1:4" x14ac:dyDescent="0.35">
      <c r="A268" t="s">
        <v>36</v>
      </c>
      <c r="B268" t="s">
        <v>10</v>
      </c>
      <c r="C268">
        <v>0.8</v>
      </c>
      <c r="D268" t="s">
        <v>229</v>
      </c>
    </row>
    <row r="269" spans="1:4" x14ac:dyDescent="0.35">
      <c r="A269" t="s">
        <v>36</v>
      </c>
      <c r="B269" t="s">
        <v>11</v>
      </c>
      <c r="C269">
        <v>21</v>
      </c>
      <c r="D269" t="s">
        <v>229</v>
      </c>
    </row>
    <row r="270" spans="1:4" x14ac:dyDescent="0.35">
      <c r="A270" t="s">
        <v>36</v>
      </c>
      <c r="B270" t="s">
        <v>12</v>
      </c>
      <c r="C270">
        <v>19</v>
      </c>
      <c r="D270" t="s">
        <v>229</v>
      </c>
    </row>
    <row r="271" spans="1:4" x14ac:dyDescent="0.35">
      <c r="A271" t="s">
        <v>36</v>
      </c>
      <c r="B271" t="s">
        <v>13</v>
      </c>
      <c r="C271">
        <v>180</v>
      </c>
      <c r="D271" t="s">
        <v>229</v>
      </c>
    </row>
    <row r="272" spans="1:4" x14ac:dyDescent="0.35">
      <c r="A272" t="s">
        <v>36</v>
      </c>
      <c r="B272" t="s">
        <v>14</v>
      </c>
      <c r="C272">
        <v>105</v>
      </c>
      <c r="D272" t="s">
        <v>229</v>
      </c>
    </row>
    <row r="273" spans="1:4" x14ac:dyDescent="0.35">
      <c r="A273" t="s">
        <v>36</v>
      </c>
      <c r="B273" t="s">
        <v>15</v>
      </c>
      <c r="C273">
        <v>58</v>
      </c>
      <c r="D273" t="s">
        <v>230</v>
      </c>
    </row>
    <row r="274" spans="1:4" x14ac:dyDescent="0.35">
      <c r="A274" t="s">
        <v>36</v>
      </c>
      <c r="B274" t="s">
        <v>16</v>
      </c>
      <c r="C274">
        <v>98</v>
      </c>
      <c r="D274" t="s">
        <v>229</v>
      </c>
    </row>
    <row r="275" spans="1:4" x14ac:dyDescent="0.35">
      <c r="A275" t="s">
        <v>37</v>
      </c>
      <c r="B275" t="s">
        <v>4</v>
      </c>
      <c r="C275">
        <v>12.2</v>
      </c>
      <c r="D275" t="s">
        <v>231</v>
      </c>
    </row>
    <row r="276" spans="1:4" x14ac:dyDescent="0.35">
      <c r="A276" t="s">
        <v>37</v>
      </c>
      <c r="B276" t="s">
        <v>5</v>
      </c>
      <c r="C276">
        <v>4.4000000000000004</v>
      </c>
      <c r="D276" t="s">
        <v>229</v>
      </c>
    </row>
    <row r="277" spans="1:4" x14ac:dyDescent="0.35">
      <c r="A277" t="s">
        <v>37</v>
      </c>
      <c r="B277" t="s">
        <v>6</v>
      </c>
      <c r="C277">
        <v>13.8</v>
      </c>
      <c r="D277" t="s">
        <v>229</v>
      </c>
    </row>
    <row r="278" spans="1:4" x14ac:dyDescent="0.35">
      <c r="A278" t="s">
        <v>37</v>
      </c>
      <c r="B278" t="s">
        <v>7</v>
      </c>
      <c r="C278">
        <v>41.5</v>
      </c>
      <c r="D278" t="s">
        <v>229</v>
      </c>
    </row>
    <row r="279" spans="1:4" x14ac:dyDescent="0.35">
      <c r="A279" t="s">
        <v>37</v>
      </c>
      <c r="B279" t="s">
        <v>8</v>
      </c>
      <c r="C279">
        <v>240</v>
      </c>
      <c r="D279" t="s">
        <v>229</v>
      </c>
    </row>
    <row r="280" spans="1:4" x14ac:dyDescent="0.35">
      <c r="A280" t="s">
        <v>37</v>
      </c>
      <c r="B280" t="s">
        <v>9</v>
      </c>
      <c r="C280">
        <v>110</v>
      </c>
      <c r="D280" t="s">
        <v>231</v>
      </c>
    </row>
    <row r="281" spans="1:4" x14ac:dyDescent="0.35">
      <c r="A281" t="s">
        <v>37</v>
      </c>
      <c r="B281" t="s">
        <v>10</v>
      </c>
      <c r="C281">
        <v>1.1000000000000001</v>
      </c>
      <c r="D281" t="s">
        <v>229</v>
      </c>
    </row>
    <row r="282" spans="1:4" x14ac:dyDescent="0.35">
      <c r="A282" t="s">
        <v>37</v>
      </c>
      <c r="B282" t="s">
        <v>11</v>
      </c>
      <c r="C282">
        <v>62</v>
      </c>
      <c r="D282" t="s">
        <v>231</v>
      </c>
    </row>
    <row r="283" spans="1:4" x14ac:dyDescent="0.35">
      <c r="A283" t="s">
        <v>37</v>
      </c>
      <c r="B283" t="s">
        <v>12</v>
      </c>
      <c r="C283">
        <v>55</v>
      </c>
      <c r="D283" t="s">
        <v>231</v>
      </c>
    </row>
    <row r="284" spans="1:4" x14ac:dyDescent="0.35">
      <c r="A284" t="s">
        <v>37</v>
      </c>
      <c r="B284" t="s">
        <v>13</v>
      </c>
      <c r="C284">
        <v>208</v>
      </c>
      <c r="D284" t="s">
        <v>231</v>
      </c>
    </row>
    <row r="285" spans="1:4" x14ac:dyDescent="0.35">
      <c r="A285" t="s">
        <v>37</v>
      </c>
      <c r="B285" t="s">
        <v>14</v>
      </c>
      <c r="C285">
        <v>130</v>
      </c>
      <c r="D285" t="s">
        <v>229</v>
      </c>
    </row>
    <row r="286" spans="1:4" x14ac:dyDescent="0.35">
      <c r="A286" t="s">
        <v>37</v>
      </c>
      <c r="B286" t="s">
        <v>15</v>
      </c>
      <c r="C286">
        <v>44</v>
      </c>
      <c r="D286" t="s">
        <v>230</v>
      </c>
    </row>
    <row r="287" spans="1:4" x14ac:dyDescent="0.35">
      <c r="A287" t="s">
        <v>37</v>
      </c>
      <c r="B287" t="s">
        <v>16</v>
      </c>
      <c r="C287">
        <v>160</v>
      </c>
      <c r="D287" t="s">
        <v>231</v>
      </c>
    </row>
    <row r="288" spans="1:4" x14ac:dyDescent="0.35">
      <c r="A288" t="s">
        <v>38</v>
      </c>
      <c r="B288" t="s">
        <v>4</v>
      </c>
      <c r="C288">
        <v>6.5</v>
      </c>
      <c r="D288" t="s">
        <v>229</v>
      </c>
    </row>
    <row r="289" spans="1:4" x14ac:dyDescent="0.35">
      <c r="A289" t="s">
        <v>38</v>
      </c>
      <c r="B289" t="s">
        <v>5</v>
      </c>
      <c r="C289">
        <v>4.2</v>
      </c>
      <c r="D289" t="s">
        <v>229</v>
      </c>
    </row>
    <row r="290" spans="1:4" x14ac:dyDescent="0.35">
      <c r="A290" t="s">
        <v>38</v>
      </c>
      <c r="B290" t="s">
        <v>6</v>
      </c>
      <c r="C290">
        <v>12.5</v>
      </c>
      <c r="D290" t="s">
        <v>229</v>
      </c>
    </row>
    <row r="291" spans="1:4" x14ac:dyDescent="0.35">
      <c r="A291" t="s">
        <v>38</v>
      </c>
      <c r="B291" t="s">
        <v>7</v>
      </c>
      <c r="C291">
        <v>37.5</v>
      </c>
      <c r="D291" t="s">
        <v>229</v>
      </c>
    </row>
    <row r="292" spans="1:4" x14ac:dyDescent="0.35">
      <c r="A292" t="s">
        <v>38</v>
      </c>
      <c r="B292" t="s">
        <v>8</v>
      </c>
      <c r="C292">
        <v>210</v>
      </c>
      <c r="D292" t="s">
        <v>229</v>
      </c>
    </row>
    <row r="293" spans="1:4" x14ac:dyDescent="0.35">
      <c r="A293" t="s">
        <v>38</v>
      </c>
      <c r="B293" t="s">
        <v>9</v>
      </c>
      <c r="C293">
        <v>112</v>
      </c>
      <c r="D293" t="s">
        <v>231</v>
      </c>
    </row>
    <row r="294" spans="1:4" x14ac:dyDescent="0.35">
      <c r="A294" t="s">
        <v>38</v>
      </c>
      <c r="B294" t="s">
        <v>10</v>
      </c>
      <c r="C294">
        <v>1</v>
      </c>
      <c r="D294" t="s">
        <v>229</v>
      </c>
    </row>
    <row r="295" spans="1:4" x14ac:dyDescent="0.35">
      <c r="A295" t="s">
        <v>38</v>
      </c>
      <c r="B295" t="s">
        <v>11</v>
      </c>
      <c r="C295">
        <v>32</v>
      </c>
      <c r="D295" t="s">
        <v>229</v>
      </c>
    </row>
    <row r="296" spans="1:4" x14ac:dyDescent="0.35">
      <c r="A296" t="s">
        <v>38</v>
      </c>
      <c r="B296" t="s">
        <v>12</v>
      </c>
      <c r="C296">
        <v>28</v>
      </c>
      <c r="D296" t="s">
        <v>229</v>
      </c>
    </row>
    <row r="297" spans="1:4" x14ac:dyDescent="0.35">
      <c r="A297" t="s">
        <v>38</v>
      </c>
      <c r="B297" t="s">
        <v>13</v>
      </c>
      <c r="C297">
        <v>238</v>
      </c>
      <c r="D297" t="s">
        <v>231</v>
      </c>
    </row>
    <row r="298" spans="1:4" x14ac:dyDescent="0.35">
      <c r="A298" t="s">
        <v>38</v>
      </c>
      <c r="B298" t="s">
        <v>14</v>
      </c>
      <c r="C298">
        <v>152</v>
      </c>
      <c r="D298" t="s">
        <v>231</v>
      </c>
    </row>
    <row r="299" spans="1:4" x14ac:dyDescent="0.35">
      <c r="A299" t="s">
        <v>38</v>
      </c>
      <c r="B299" t="s">
        <v>15</v>
      </c>
      <c r="C299">
        <v>37</v>
      </c>
      <c r="D299" t="s">
        <v>232</v>
      </c>
    </row>
    <row r="300" spans="1:4" x14ac:dyDescent="0.35">
      <c r="A300" t="s">
        <v>38</v>
      </c>
      <c r="B300" t="s">
        <v>16</v>
      </c>
      <c r="C300">
        <v>195</v>
      </c>
      <c r="D300" t="s">
        <v>231</v>
      </c>
    </row>
    <row r="301" spans="1:4" x14ac:dyDescent="0.35">
      <c r="A301" t="s">
        <v>39</v>
      </c>
      <c r="B301" t="s">
        <v>4</v>
      </c>
      <c r="C301">
        <v>7.1</v>
      </c>
      <c r="D301" t="s">
        <v>229</v>
      </c>
    </row>
    <row r="302" spans="1:4" x14ac:dyDescent="0.35">
      <c r="A302" t="s">
        <v>39</v>
      </c>
      <c r="B302" t="s">
        <v>5</v>
      </c>
      <c r="C302">
        <v>4.5</v>
      </c>
      <c r="D302" t="s">
        <v>229</v>
      </c>
    </row>
    <row r="303" spans="1:4" x14ac:dyDescent="0.35">
      <c r="A303" t="s">
        <v>39</v>
      </c>
      <c r="B303" t="s">
        <v>6</v>
      </c>
      <c r="C303">
        <v>14.2</v>
      </c>
      <c r="D303" t="s">
        <v>229</v>
      </c>
    </row>
    <row r="304" spans="1:4" x14ac:dyDescent="0.35">
      <c r="A304" t="s">
        <v>39</v>
      </c>
      <c r="B304" t="s">
        <v>7</v>
      </c>
      <c r="C304">
        <v>42</v>
      </c>
      <c r="D304" t="s">
        <v>229</v>
      </c>
    </row>
    <row r="305" spans="1:4" x14ac:dyDescent="0.35">
      <c r="A305" t="s">
        <v>39</v>
      </c>
      <c r="B305" t="s">
        <v>8</v>
      </c>
      <c r="C305">
        <v>522</v>
      </c>
      <c r="D305" t="s">
        <v>231</v>
      </c>
    </row>
    <row r="306" spans="1:4" x14ac:dyDescent="0.35">
      <c r="A306" t="s">
        <v>39</v>
      </c>
      <c r="B306" t="s">
        <v>9</v>
      </c>
      <c r="C306">
        <v>101</v>
      </c>
      <c r="D306" t="s">
        <v>231</v>
      </c>
    </row>
    <row r="307" spans="1:4" x14ac:dyDescent="0.35">
      <c r="A307" t="s">
        <v>39</v>
      </c>
      <c r="B307" t="s">
        <v>10</v>
      </c>
      <c r="C307">
        <v>1</v>
      </c>
      <c r="D307" t="s">
        <v>229</v>
      </c>
    </row>
    <row r="308" spans="1:4" x14ac:dyDescent="0.35">
      <c r="A308" t="s">
        <v>39</v>
      </c>
      <c r="B308" t="s">
        <v>11</v>
      </c>
      <c r="C308">
        <v>30</v>
      </c>
      <c r="D308" t="s">
        <v>229</v>
      </c>
    </row>
    <row r="309" spans="1:4" x14ac:dyDescent="0.35">
      <c r="A309" t="s">
        <v>39</v>
      </c>
      <c r="B309" t="s">
        <v>12</v>
      </c>
      <c r="C309">
        <v>27</v>
      </c>
      <c r="D309" t="s">
        <v>229</v>
      </c>
    </row>
    <row r="310" spans="1:4" x14ac:dyDescent="0.35">
      <c r="A310" t="s">
        <v>39</v>
      </c>
      <c r="B310" t="s">
        <v>13</v>
      </c>
      <c r="C310">
        <v>192</v>
      </c>
      <c r="D310" t="s">
        <v>229</v>
      </c>
    </row>
    <row r="311" spans="1:4" x14ac:dyDescent="0.35">
      <c r="A311" t="s">
        <v>39</v>
      </c>
      <c r="B311" t="s">
        <v>14</v>
      </c>
      <c r="C311">
        <v>118</v>
      </c>
      <c r="D311" t="s">
        <v>229</v>
      </c>
    </row>
    <row r="312" spans="1:4" x14ac:dyDescent="0.35">
      <c r="A312" t="s">
        <v>39</v>
      </c>
      <c r="B312" t="s">
        <v>15</v>
      </c>
      <c r="C312">
        <v>49</v>
      </c>
      <c r="D312" t="s">
        <v>230</v>
      </c>
    </row>
    <row r="313" spans="1:4" x14ac:dyDescent="0.35">
      <c r="A313" t="s">
        <v>39</v>
      </c>
      <c r="B313" t="s">
        <v>16</v>
      </c>
      <c r="C313">
        <v>138</v>
      </c>
      <c r="D313" t="s">
        <v>229</v>
      </c>
    </row>
    <row r="314" spans="1:4" x14ac:dyDescent="0.35">
      <c r="A314" t="s">
        <v>40</v>
      </c>
      <c r="B314" t="s">
        <v>4</v>
      </c>
      <c r="C314">
        <v>6.8</v>
      </c>
      <c r="D314" t="s">
        <v>229</v>
      </c>
    </row>
    <row r="315" spans="1:4" x14ac:dyDescent="0.35">
      <c r="A315" t="s">
        <v>40</v>
      </c>
      <c r="B315" t="s">
        <v>5</v>
      </c>
      <c r="C315">
        <v>3.5</v>
      </c>
      <c r="D315" t="s">
        <v>232</v>
      </c>
    </row>
    <row r="316" spans="1:4" x14ac:dyDescent="0.35">
      <c r="A316" t="s">
        <v>40</v>
      </c>
      <c r="B316" t="s">
        <v>6</v>
      </c>
      <c r="C316">
        <v>10.199999999999999</v>
      </c>
      <c r="D316" t="s">
        <v>232</v>
      </c>
    </row>
    <row r="317" spans="1:4" x14ac:dyDescent="0.35">
      <c r="A317" t="s">
        <v>40</v>
      </c>
      <c r="B317" t="s">
        <v>7</v>
      </c>
      <c r="C317">
        <v>30.8</v>
      </c>
      <c r="D317" t="s">
        <v>232</v>
      </c>
    </row>
    <row r="318" spans="1:4" x14ac:dyDescent="0.35">
      <c r="A318" t="s">
        <v>40</v>
      </c>
      <c r="B318" t="s">
        <v>8</v>
      </c>
      <c r="C318">
        <v>158</v>
      </c>
      <c r="D318" t="s">
        <v>229</v>
      </c>
    </row>
    <row r="319" spans="1:4" x14ac:dyDescent="0.35">
      <c r="A319" t="s">
        <v>40</v>
      </c>
      <c r="B319" t="s">
        <v>9</v>
      </c>
      <c r="C319">
        <v>158</v>
      </c>
      <c r="D319" t="s">
        <v>231</v>
      </c>
    </row>
    <row r="320" spans="1:4" x14ac:dyDescent="0.35">
      <c r="A320" t="s">
        <v>40</v>
      </c>
      <c r="B320" t="s">
        <v>10</v>
      </c>
      <c r="C320">
        <v>1.8</v>
      </c>
      <c r="D320" t="s">
        <v>231</v>
      </c>
    </row>
    <row r="321" spans="1:4" x14ac:dyDescent="0.35">
      <c r="A321" t="s">
        <v>40</v>
      </c>
      <c r="B321" t="s">
        <v>11</v>
      </c>
      <c r="C321">
        <v>38</v>
      </c>
      <c r="D321" t="s">
        <v>229</v>
      </c>
    </row>
    <row r="322" spans="1:4" x14ac:dyDescent="0.35">
      <c r="A322" t="s">
        <v>40</v>
      </c>
      <c r="B322" t="s">
        <v>12</v>
      </c>
      <c r="C322">
        <v>35</v>
      </c>
      <c r="D322" t="s">
        <v>229</v>
      </c>
    </row>
    <row r="323" spans="1:4" x14ac:dyDescent="0.35">
      <c r="A323" t="s">
        <v>40</v>
      </c>
      <c r="B323" t="s">
        <v>13</v>
      </c>
      <c r="C323">
        <v>245</v>
      </c>
      <c r="D323" t="s">
        <v>231</v>
      </c>
    </row>
    <row r="324" spans="1:4" x14ac:dyDescent="0.35">
      <c r="A324" t="s">
        <v>40</v>
      </c>
      <c r="B324" t="s">
        <v>14</v>
      </c>
      <c r="C324">
        <v>158</v>
      </c>
      <c r="D324" t="s">
        <v>231</v>
      </c>
    </row>
    <row r="325" spans="1:4" x14ac:dyDescent="0.35">
      <c r="A325" t="s">
        <v>40</v>
      </c>
      <c r="B325" t="s">
        <v>15</v>
      </c>
      <c r="C325">
        <v>38</v>
      </c>
      <c r="D325" t="s">
        <v>232</v>
      </c>
    </row>
    <row r="326" spans="1:4" x14ac:dyDescent="0.35">
      <c r="A326" t="s">
        <v>40</v>
      </c>
      <c r="B326" t="s">
        <v>16</v>
      </c>
      <c r="C326">
        <v>210</v>
      </c>
      <c r="D326" t="s">
        <v>231</v>
      </c>
    </row>
    <row r="327" spans="1:4" x14ac:dyDescent="0.35">
      <c r="A327" t="s">
        <v>41</v>
      </c>
      <c r="B327" t="s">
        <v>4</v>
      </c>
      <c r="C327">
        <v>6.3</v>
      </c>
      <c r="D327" t="s">
        <v>229</v>
      </c>
    </row>
    <row r="328" spans="1:4" x14ac:dyDescent="0.35">
      <c r="A328" t="s">
        <v>41</v>
      </c>
      <c r="B328" t="s">
        <v>5</v>
      </c>
      <c r="C328">
        <v>5</v>
      </c>
      <c r="D328" t="s">
        <v>229</v>
      </c>
    </row>
    <row r="329" spans="1:4" x14ac:dyDescent="0.35">
      <c r="A329" t="s">
        <v>41</v>
      </c>
      <c r="B329" t="s">
        <v>6</v>
      </c>
      <c r="C329">
        <v>15.8</v>
      </c>
      <c r="D329" t="s">
        <v>229</v>
      </c>
    </row>
    <row r="330" spans="1:4" x14ac:dyDescent="0.35">
      <c r="A330" t="s">
        <v>41</v>
      </c>
      <c r="B330" t="s">
        <v>7</v>
      </c>
      <c r="C330">
        <v>46</v>
      </c>
      <c r="D330" t="s">
        <v>229</v>
      </c>
    </row>
    <row r="331" spans="1:4" x14ac:dyDescent="0.35">
      <c r="A331" t="s">
        <v>41</v>
      </c>
      <c r="B331" t="s">
        <v>8</v>
      </c>
      <c r="C331">
        <v>290</v>
      </c>
      <c r="D331" t="s">
        <v>229</v>
      </c>
    </row>
    <row r="332" spans="1:4" x14ac:dyDescent="0.35">
      <c r="A332" t="s">
        <v>41</v>
      </c>
      <c r="B332" t="s">
        <v>9</v>
      </c>
      <c r="C332">
        <v>88</v>
      </c>
      <c r="D332" t="s">
        <v>229</v>
      </c>
    </row>
    <row r="333" spans="1:4" x14ac:dyDescent="0.35">
      <c r="A333" t="s">
        <v>41</v>
      </c>
      <c r="B333" t="s">
        <v>10</v>
      </c>
      <c r="C333">
        <v>1</v>
      </c>
      <c r="D333" t="s">
        <v>229</v>
      </c>
    </row>
    <row r="334" spans="1:4" x14ac:dyDescent="0.35">
      <c r="A334" t="s">
        <v>41</v>
      </c>
      <c r="B334" t="s">
        <v>11</v>
      </c>
      <c r="C334">
        <v>24</v>
      </c>
      <c r="D334" t="s">
        <v>229</v>
      </c>
    </row>
    <row r="335" spans="1:4" x14ac:dyDescent="0.35">
      <c r="A335" t="s">
        <v>41</v>
      </c>
      <c r="B335" t="s">
        <v>12</v>
      </c>
      <c r="C335">
        <v>22</v>
      </c>
      <c r="D335" t="s">
        <v>229</v>
      </c>
    </row>
    <row r="336" spans="1:4" x14ac:dyDescent="0.35">
      <c r="A336" t="s">
        <v>41</v>
      </c>
      <c r="B336" t="s">
        <v>13</v>
      </c>
      <c r="C336">
        <v>175</v>
      </c>
      <c r="D336" t="s">
        <v>229</v>
      </c>
    </row>
    <row r="337" spans="1:4" x14ac:dyDescent="0.35">
      <c r="A337" t="s">
        <v>41</v>
      </c>
      <c r="B337" t="s">
        <v>14</v>
      </c>
      <c r="C337">
        <v>102</v>
      </c>
      <c r="D337" t="s">
        <v>229</v>
      </c>
    </row>
    <row r="338" spans="1:4" x14ac:dyDescent="0.35">
      <c r="A338" t="s">
        <v>41</v>
      </c>
      <c r="B338" t="s">
        <v>15</v>
      </c>
      <c r="C338">
        <v>55</v>
      </c>
      <c r="D338" t="s">
        <v>230</v>
      </c>
    </row>
    <row r="339" spans="1:4" x14ac:dyDescent="0.35">
      <c r="A339" t="s">
        <v>41</v>
      </c>
      <c r="B339" t="s">
        <v>16</v>
      </c>
      <c r="C339">
        <v>95</v>
      </c>
      <c r="D339" t="s">
        <v>229</v>
      </c>
    </row>
    <row r="340" spans="1:4" x14ac:dyDescent="0.35">
      <c r="A340" t="s">
        <v>42</v>
      </c>
      <c r="B340" t="s">
        <v>4</v>
      </c>
      <c r="C340">
        <v>6.1</v>
      </c>
      <c r="D340" t="s">
        <v>229</v>
      </c>
    </row>
    <row r="341" spans="1:4" x14ac:dyDescent="0.35">
      <c r="A341" t="s">
        <v>42</v>
      </c>
      <c r="B341" t="s">
        <v>5</v>
      </c>
      <c r="C341">
        <v>3.7</v>
      </c>
      <c r="D341" t="s">
        <v>232</v>
      </c>
    </row>
    <row r="342" spans="1:4" x14ac:dyDescent="0.35">
      <c r="A342" t="s">
        <v>42</v>
      </c>
      <c r="B342" t="s">
        <v>6</v>
      </c>
      <c r="C342">
        <v>10.8</v>
      </c>
      <c r="D342" t="s">
        <v>232</v>
      </c>
    </row>
    <row r="343" spans="1:4" x14ac:dyDescent="0.35">
      <c r="A343" t="s">
        <v>42</v>
      </c>
      <c r="B343" t="s">
        <v>7</v>
      </c>
      <c r="C343">
        <v>32.5</v>
      </c>
      <c r="D343" t="s">
        <v>232</v>
      </c>
    </row>
    <row r="344" spans="1:4" x14ac:dyDescent="0.35">
      <c r="A344" t="s">
        <v>42</v>
      </c>
      <c r="B344" t="s">
        <v>8</v>
      </c>
      <c r="C344">
        <v>225</v>
      </c>
      <c r="D344" t="s">
        <v>229</v>
      </c>
    </row>
    <row r="345" spans="1:4" x14ac:dyDescent="0.35">
      <c r="A345" t="s">
        <v>42</v>
      </c>
      <c r="B345" t="s">
        <v>9</v>
      </c>
      <c r="C345">
        <v>108</v>
      </c>
      <c r="D345" t="s">
        <v>231</v>
      </c>
    </row>
    <row r="346" spans="1:4" x14ac:dyDescent="0.35">
      <c r="A346" t="s">
        <v>42</v>
      </c>
      <c r="B346" t="s">
        <v>10</v>
      </c>
      <c r="C346">
        <v>0.9</v>
      </c>
      <c r="D346" t="s">
        <v>229</v>
      </c>
    </row>
    <row r="347" spans="1:4" x14ac:dyDescent="0.35">
      <c r="A347" t="s">
        <v>42</v>
      </c>
      <c r="B347" t="s">
        <v>11</v>
      </c>
      <c r="C347">
        <v>28</v>
      </c>
      <c r="D347" t="s">
        <v>229</v>
      </c>
    </row>
    <row r="348" spans="1:4" x14ac:dyDescent="0.35">
      <c r="A348" t="s">
        <v>42</v>
      </c>
      <c r="B348" t="s">
        <v>12</v>
      </c>
      <c r="C348">
        <v>25</v>
      </c>
      <c r="D348" t="s">
        <v>229</v>
      </c>
    </row>
    <row r="349" spans="1:4" x14ac:dyDescent="0.35">
      <c r="A349" t="s">
        <v>42</v>
      </c>
      <c r="B349" t="s">
        <v>13</v>
      </c>
      <c r="C349">
        <v>218</v>
      </c>
      <c r="D349" t="s">
        <v>231</v>
      </c>
    </row>
    <row r="350" spans="1:4" x14ac:dyDescent="0.35">
      <c r="A350" t="s">
        <v>42</v>
      </c>
      <c r="B350" t="s">
        <v>14</v>
      </c>
      <c r="C350">
        <v>138</v>
      </c>
      <c r="D350" t="s">
        <v>231</v>
      </c>
    </row>
    <row r="351" spans="1:4" x14ac:dyDescent="0.35">
      <c r="A351" t="s">
        <v>42</v>
      </c>
      <c r="B351" t="s">
        <v>15</v>
      </c>
      <c r="C351">
        <v>43</v>
      </c>
      <c r="D351" t="s">
        <v>230</v>
      </c>
    </row>
    <row r="352" spans="1:4" x14ac:dyDescent="0.35">
      <c r="A352" t="s">
        <v>42</v>
      </c>
      <c r="B352" t="s">
        <v>16</v>
      </c>
      <c r="C352">
        <v>168</v>
      </c>
      <c r="D352" t="s">
        <v>231</v>
      </c>
    </row>
    <row r="353" spans="1:4" x14ac:dyDescent="0.35">
      <c r="A353" t="s">
        <v>43</v>
      </c>
      <c r="B353" t="s">
        <v>4</v>
      </c>
      <c r="C353">
        <v>11.8</v>
      </c>
      <c r="D353" t="s">
        <v>231</v>
      </c>
    </row>
    <row r="354" spans="1:4" x14ac:dyDescent="0.35">
      <c r="A354" t="s">
        <v>43</v>
      </c>
      <c r="B354" t="s">
        <v>5</v>
      </c>
      <c r="C354">
        <v>4.0999999999999996</v>
      </c>
      <c r="D354" t="s">
        <v>229</v>
      </c>
    </row>
    <row r="355" spans="1:4" x14ac:dyDescent="0.35">
      <c r="A355" t="s">
        <v>43</v>
      </c>
      <c r="B355" t="s">
        <v>6</v>
      </c>
      <c r="C355">
        <v>12.9</v>
      </c>
      <c r="D355" t="s">
        <v>229</v>
      </c>
    </row>
    <row r="356" spans="1:4" x14ac:dyDescent="0.35">
      <c r="A356" t="s">
        <v>43</v>
      </c>
      <c r="B356" t="s">
        <v>7</v>
      </c>
      <c r="C356">
        <v>38.799999999999997</v>
      </c>
      <c r="D356" t="s">
        <v>229</v>
      </c>
    </row>
    <row r="357" spans="1:4" x14ac:dyDescent="0.35">
      <c r="A357" t="s">
        <v>43</v>
      </c>
      <c r="B357" t="s">
        <v>8</v>
      </c>
      <c r="C357">
        <v>215</v>
      </c>
      <c r="D357" t="s">
        <v>229</v>
      </c>
    </row>
    <row r="358" spans="1:4" x14ac:dyDescent="0.35">
      <c r="A358" t="s">
        <v>43</v>
      </c>
      <c r="B358" t="s">
        <v>9</v>
      </c>
      <c r="C358">
        <v>148</v>
      </c>
      <c r="D358" t="s">
        <v>231</v>
      </c>
    </row>
    <row r="359" spans="1:4" x14ac:dyDescent="0.35">
      <c r="A359" t="s">
        <v>43</v>
      </c>
      <c r="B359" t="s">
        <v>10</v>
      </c>
      <c r="C359">
        <v>1.3</v>
      </c>
      <c r="D359" t="s">
        <v>231</v>
      </c>
    </row>
    <row r="360" spans="1:4" x14ac:dyDescent="0.35">
      <c r="A360" t="s">
        <v>43</v>
      </c>
      <c r="B360" t="s">
        <v>11</v>
      </c>
      <c r="C360">
        <v>75</v>
      </c>
      <c r="D360" t="s">
        <v>231</v>
      </c>
    </row>
    <row r="361" spans="1:4" x14ac:dyDescent="0.35">
      <c r="A361" t="s">
        <v>43</v>
      </c>
      <c r="B361" t="s">
        <v>12</v>
      </c>
      <c r="C361">
        <v>62</v>
      </c>
      <c r="D361" t="s">
        <v>231</v>
      </c>
    </row>
    <row r="362" spans="1:4" x14ac:dyDescent="0.35">
      <c r="A362" t="s">
        <v>43</v>
      </c>
      <c r="B362" t="s">
        <v>13</v>
      </c>
      <c r="C362">
        <v>230</v>
      </c>
      <c r="D362" t="s">
        <v>231</v>
      </c>
    </row>
    <row r="363" spans="1:4" x14ac:dyDescent="0.35">
      <c r="A363" t="s">
        <v>43</v>
      </c>
      <c r="B363" t="s">
        <v>14</v>
      </c>
      <c r="C363">
        <v>148</v>
      </c>
      <c r="D363" t="s">
        <v>231</v>
      </c>
    </row>
    <row r="364" spans="1:4" x14ac:dyDescent="0.35">
      <c r="A364" t="s">
        <v>43</v>
      </c>
      <c r="B364" t="s">
        <v>15</v>
      </c>
      <c r="C364">
        <v>40</v>
      </c>
      <c r="D364" t="s">
        <v>230</v>
      </c>
    </row>
    <row r="365" spans="1:4" x14ac:dyDescent="0.35">
      <c r="A365" t="s">
        <v>43</v>
      </c>
      <c r="B365" t="s">
        <v>16</v>
      </c>
      <c r="C365">
        <v>198</v>
      </c>
      <c r="D365" t="s">
        <v>231</v>
      </c>
    </row>
  </sheetData>
  <conditionalFormatting sqref="C2:C365">
    <cfRule type="expression" dxfId="5" priority="1">
      <formula>$D2="Low"</formula>
    </cfRule>
    <cfRule type="expression" dxfId="4" priority="2">
      <formula>$D2="High"</formula>
    </cfRule>
  </conditionalFormatting>
  <conditionalFormatting sqref="D1:D1048576">
    <cfRule type="cellIs" dxfId="3" priority="3" operator="equal">
      <formula>"Low"</formula>
    </cfRule>
    <cfRule type="containsText" dxfId="2" priority="4" operator="containsText" text="High">
      <formula>NOT(ISERROR(SEARCH("High",D1)))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9604-FCD0-46C9-86EF-92226E53061F}">
  <sheetPr>
    <pageSetUpPr fitToPage="1"/>
  </sheetPr>
  <dimension ref="A1:F16"/>
  <sheetViews>
    <sheetView zoomScale="90" zoomScaleNormal="90" workbookViewId="0">
      <selection activeCell="C16" sqref="C5:C16"/>
    </sheetView>
  </sheetViews>
  <sheetFormatPr defaultRowHeight="14.5" x14ac:dyDescent="0.35"/>
  <cols>
    <col min="1" max="1" width="17.90625" customWidth="1"/>
    <col min="3" max="3" width="14.453125" customWidth="1"/>
    <col min="4" max="4" width="16.81640625" customWidth="1"/>
    <col min="5" max="5" width="14.81640625" customWidth="1"/>
    <col min="6" max="6" width="13.90625" customWidth="1"/>
    <col min="7" max="7" width="87" customWidth="1"/>
    <col min="8" max="8" width="8.7265625" customWidth="1"/>
  </cols>
  <sheetData>
    <row r="1" spans="1:6" ht="76.5" customHeight="1" x14ac:dyDescent="0.35">
      <c r="A1" s="11" t="s">
        <v>284</v>
      </c>
      <c r="B1" s="11"/>
      <c r="C1" s="11"/>
      <c r="D1" s="11"/>
      <c r="E1" s="11"/>
      <c r="F1" s="11"/>
    </row>
    <row r="2" spans="1:6" ht="22.5" customHeight="1" x14ac:dyDescent="0.35"/>
    <row r="3" spans="1:6" x14ac:dyDescent="0.35">
      <c r="A3" s="6" t="s">
        <v>279</v>
      </c>
      <c r="B3" s="6" t="s">
        <v>204</v>
      </c>
      <c r="C3" s="9" t="s">
        <v>280</v>
      </c>
      <c r="D3" s="6" t="s">
        <v>281</v>
      </c>
      <c r="E3" s="6" t="s">
        <v>282</v>
      </c>
      <c r="F3" s="6" t="s">
        <v>283</v>
      </c>
    </row>
    <row r="4" spans="1:6" x14ac:dyDescent="0.35">
      <c r="A4" t="str">
        <f>dim_reference_intervals!A2</f>
        <v>WBC</v>
      </c>
      <c r="B4" t="str">
        <f>dim_reference_intervals!B2</f>
        <v>10³/µL</v>
      </c>
      <c r="C4" s="8"/>
      <c r="D4">
        <f>IF(dim_reference_intervals!D2="","",dim_reference_intervals!D2)</f>
        <v>4</v>
      </c>
      <c r="E4">
        <f>IF(dim_reference_intervals!E2="","",dim_reference_intervals!E2)</f>
        <v>10</v>
      </c>
      <c r="F4" t="str">
        <f>IF(C4="","Enter result",
    IF(NOT(ISNUMBER(C4)),"Check input",
        IF(C4&lt;0,"Check input",
            IF(D4="","Check reference",
                IF(A4="HDL",
                    IF(C4&lt;D4,"Low","Not low"),
                    IF(E4="","Check reference",
                        IF(D4&gt;E4,"Check reference",
                            IF(C4&lt;D4,"Low",
                                IF(C4&gt;E4,"High","Within range")
                            )
                        )
                    )
                )
            )
        )
    )
)</f>
        <v>Enter result</v>
      </c>
    </row>
    <row r="5" spans="1:6" x14ac:dyDescent="0.35">
      <c r="A5" t="str">
        <f>dim_reference_intervals!A3</f>
        <v>RBC</v>
      </c>
      <c r="B5" t="str">
        <f>dim_reference_intervals!B3</f>
        <v>10⁶/µL</v>
      </c>
      <c r="C5" s="8"/>
      <c r="D5">
        <f>IF(dim_reference_intervals!D3="","",dim_reference_intervals!D3)</f>
        <v>3.8</v>
      </c>
      <c r="E5">
        <f>IF(dim_reference_intervals!E3="","",dim_reference_intervals!E3)</f>
        <v>5.8</v>
      </c>
      <c r="F5" t="str">
        <f t="shared" ref="F5:F16" si="0">IF(C5="","Enter result",
    IF(NOT(ISNUMBER(C5)),"Check input",
        IF(C5&lt;0,"Check input",
            IF(D5="","Check reference",
                IF(A5="HDL",
                    IF(C5&lt;D5,"Low","Not low"),
                    IF(E5="","Check reference",
                        IF(D5&gt;E5,"Check reference",
                            IF(C5&lt;D5,"Low",
                                IF(C5&gt;E5,"High","Within range")
                            )
                        )
                    )
                )
            )
        )
    )
)</f>
        <v>Enter result</v>
      </c>
    </row>
    <row r="6" spans="1:6" x14ac:dyDescent="0.35">
      <c r="A6" t="str">
        <f>dim_reference_intervals!A4</f>
        <v>Hemoglobin</v>
      </c>
      <c r="B6" t="str">
        <f>dim_reference_intervals!B4</f>
        <v>g/dL</v>
      </c>
      <c r="C6" s="8"/>
      <c r="D6">
        <f>IF(dim_reference_intervals!D4="","",dim_reference_intervals!D4)</f>
        <v>11</v>
      </c>
      <c r="E6">
        <f>IF(dim_reference_intervals!E4="","",dim_reference_intervals!E4)</f>
        <v>17.5</v>
      </c>
      <c r="F6" t="str">
        <f t="shared" si="0"/>
        <v>Enter result</v>
      </c>
    </row>
    <row r="7" spans="1:6" x14ac:dyDescent="0.35">
      <c r="A7" t="str">
        <f>dim_reference_intervals!A5</f>
        <v>Hematocrit</v>
      </c>
      <c r="B7" t="str">
        <f>dim_reference_intervals!B5</f>
        <v>%</v>
      </c>
      <c r="C7" s="8"/>
      <c r="D7">
        <f>IF(dim_reference_intervals!D5="","",dim_reference_intervals!D5)</f>
        <v>33</v>
      </c>
      <c r="E7">
        <f>IF(dim_reference_intervals!E5="","",dim_reference_intervals!E5)</f>
        <v>52</v>
      </c>
      <c r="F7" t="str">
        <f t="shared" si="0"/>
        <v>Enter result</v>
      </c>
    </row>
    <row r="8" spans="1:6" x14ac:dyDescent="0.35">
      <c r="A8" t="str">
        <f>dim_reference_intervals!A6</f>
        <v>Platelets</v>
      </c>
      <c r="B8" t="str">
        <f>dim_reference_intervals!B6</f>
        <v>10³/µL</v>
      </c>
      <c r="C8" s="8"/>
      <c r="D8">
        <f>IF(dim_reference_intervals!D6="","",dim_reference_intervals!D6)</f>
        <v>150</v>
      </c>
      <c r="E8">
        <f>IF(dim_reference_intervals!E6="","",dim_reference_intervals!E6)</f>
        <v>400</v>
      </c>
      <c r="F8" t="str">
        <f t="shared" si="0"/>
        <v>Enter result</v>
      </c>
    </row>
    <row r="9" spans="1:6" x14ac:dyDescent="0.35">
      <c r="A9" t="str">
        <f>dim_reference_intervals!A7</f>
        <v>Glucose</v>
      </c>
      <c r="B9" t="str">
        <f>dim_reference_intervals!B7</f>
        <v>mg/dL</v>
      </c>
      <c r="C9" s="8"/>
      <c r="D9">
        <f>IF(dim_reference_intervals!D7="","",dim_reference_intervals!D7)</f>
        <v>70</v>
      </c>
      <c r="E9">
        <f>IF(dim_reference_intervals!E7="","",dim_reference_intervals!E7)</f>
        <v>99</v>
      </c>
      <c r="F9" t="str">
        <f t="shared" si="0"/>
        <v>Enter result</v>
      </c>
    </row>
    <row r="10" spans="1:6" x14ac:dyDescent="0.35">
      <c r="A10" t="str">
        <f>dim_reference_intervals!A8</f>
        <v>Creatinine</v>
      </c>
      <c r="B10" t="str">
        <f>dim_reference_intervals!B8</f>
        <v>mg/dL</v>
      </c>
      <c r="C10" s="8"/>
      <c r="D10">
        <f>IF(dim_reference_intervals!D8="","",dim_reference_intervals!D8)</f>
        <v>0.5</v>
      </c>
      <c r="E10">
        <f>IF(dim_reference_intervals!E8="","",dim_reference_intervals!E8)</f>
        <v>1.2</v>
      </c>
      <c r="F10" t="str">
        <f t="shared" si="0"/>
        <v>Enter result</v>
      </c>
    </row>
    <row r="11" spans="1:6" x14ac:dyDescent="0.35">
      <c r="A11" t="str">
        <f>dim_reference_intervals!A9</f>
        <v>ALT</v>
      </c>
      <c r="B11" t="str">
        <f>dim_reference_intervals!B9</f>
        <v>U/L</v>
      </c>
      <c r="C11" s="8"/>
      <c r="D11">
        <f>IF(dim_reference_intervals!D9="","",dim_reference_intervals!D9)</f>
        <v>7</v>
      </c>
      <c r="E11">
        <f>IF(dim_reference_intervals!E9="","",dim_reference_intervals!E9)</f>
        <v>56</v>
      </c>
      <c r="F11" t="str">
        <f t="shared" si="0"/>
        <v>Enter result</v>
      </c>
    </row>
    <row r="12" spans="1:6" x14ac:dyDescent="0.35">
      <c r="A12" t="str">
        <f>dim_reference_intervals!A10</f>
        <v>AST</v>
      </c>
      <c r="B12" t="str">
        <f>dim_reference_intervals!B10</f>
        <v>U/L</v>
      </c>
      <c r="C12" s="8"/>
      <c r="D12">
        <f>IF(dim_reference_intervals!D10="","",dim_reference_intervals!D10)</f>
        <v>10</v>
      </c>
      <c r="E12">
        <f>IF(dim_reference_intervals!E10="","",dim_reference_intervals!E10)</f>
        <v>40</v>
      </c>
      <c r="F12" t="str">
        <f t="shared" si="0"/>
        <v>Enter result</v>
      </c>
    </row>
    <row r="13" spans="1:6" x14ac:dyDescent="0.35">
      <c r="A13" t="str">
        <f>dim_reference_intervals!A11</f>
        <v>Total_Cholesterol</v>
      </c>
      <c r="B13" t="str">
        <f>dim_reference_intervals!B11</f>
        <v>mg/dL</v>
      </c>
      <c r="C13" s="8"/>
      <c r="D13">
        <f>IF(dim_reference_intervals!D11="","",dim_reference_intervals!D11)</f>
        <v>0</v>
      </c>
      <c r="E13">
        <f>IF(dim_reference_intervals!E11="","",dim_reference_intervals!E11)</f>
        <v>200</v>
      </c>
      <c r="F13" t="str">
        <f t="shared" si="0"/>
        <v>Enter result</v>
      </c>
    </row>
    <row r="14" spans="1:6" x14ac:dyDescent="0.35">
      <c r="A14" t="str">
        <f>dim_reference_intervals!A12</f>
        <v>LDL</v>
      </c>
      <c r="B14" t="str">
        <f>dim_reference_intervals!B12</f>
        <v>mg/dL</v>
      </c>
      <c r="C14" s="8"/>
      <c r="D14">
        <f>IF(dim_reference_intervals!D12="","",dim_reference_intervals!D12)</f>
        <v>0</v>
      </c>
      <c r="E14">
        <f>IF(dim_reference_intervals!E12="","",dim_reference_intervals!E12)</f>
        <v>130</v>
      </c>
      <c r="F14" t="str">
        <f t="shared" si="0"/>
        <v>Enter result</v>
      </c>
    </row>
    <row r="15" spans="1:6" x14ac:dyDescent="0.35">
      <c r="A15" t="str">
        <f>dim_reference_intervals!A13</f>
        <v>HDL</v>
      </c>
      <c r="B15" t="str">
        <f>dim_reference_intervals!B13</f>
        <v>mg/dL</v>
      </c>
      <c r="C15" s="8"/>
      <c r="D15">
        <f>IF(dim_reference_intervals!D13="","",dim_reference_intervals!D13)</f>
        <v>40</v>
      </c>
      <c r="E15" t="str">
        <f>IF(dim_reference_intervals!E13="","",dim_reference_intervals!E13)</f>
        <v/>
      </c>
      <c r="F15" t="str">
        <f t="shared" si="0"/>
        <v>Enter result</v>
      </c>
    </row>
    <row r="16" spans="1:6" x14ac:dyDescent="0.35">
      <c r="A16" t="str">
        <f>dim_reference_intervals!A14</f>
        <v>Triglycerides</v>
      </c>
      <c r="B16" t="str">
        <f>dim_reference_intervals!B14</f>
        <v>mg/dL</v>
      </c>
      <c r="C16" s="8"/>
      <c r="D16">
        <f>IF(dim_reference_intervals!D14="","",dim_reference_intervals!D14)</f>
        <v>0</v>
      </c>
      <c r="E16">
        <f>IF(dim_reference_intervals!E14="","",dim_reference_intervals!E14)</f>
        <v>150</v>
      </c>
      <c r="F16" t="str">
        <f t="shared" si="0"/>
        <v>Enter result</v>
      </c>
    </row>
  </sheetData>
  <mergeCells count="1">
    <mergeCell ref="A1:F1"/>
  </mergeCells>
  <conditionalFormatting sqref="F4:F16">
    <cfRule type="expression" dxfId="1" priority="1">
      <formula>$F4="Low"</formula>
    </cfRule>
    <cfRule type="expression" dxfId="0" priority="2">
      <formula>$F4="High"</formula>
    </cfRule>
  </conditionalFormatting>
  <dataValidations count="1">
    <dataValidation type="decimal" operator="greaterThanOrEqual" allowBlank="1" showInputMessage="1" showErrorMessage="1" error="Enter a non-negative number in the unit shown" sqref="C4:C16" xr:uid="{AF2D9F59-9B35-4F7D-ABA4-DEC4BFDE879C}">
      <formula1>0</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E121-DBAB-418A-AE9B-79FB26F8630F}">
  <dimension ref="A1:G14"/>
  <sheetViews>
    <sheetView workbookViewId="0">
      <selection sqref="A1:G14"/>
    </sheetView>
  </sheetViews>
  <sheetFormatPr defaultRowHeight="14.5" x14ac:dyDescent="0.35"/>
  <cols>
    <col min="1" max="1" width="15.08984375" bestFit="1" customWidth="1"/>
    <col min="2" max="2" width="6.6328125" bestFit="1" customWidth="1"/>
    <col min="3" max="3" width="15.54296875" bestFit="1" customWidth="1"/>
    <col min="4" max="4" width="13.08984375" bestFit="1" customWidth="1"/>
    <col min="5" max="5" width="13.36328125" bestFit="1" customWidth="1"/>
    <col min="6" max="6" width="16.08984375" bestFit="1" customWidth="1"/>
    <col min="7" max="7" width="54.453125" bestFit="1" customWidth="1"/>
  </cols>
  <sheetData>
    <row r="1" spans="1:7" x14ac:dyDescent="0.35">
      <c r="A1" t="s">
        <v>1</v>
      </c>
      <c r="B1" t="s">
        <v>204</v>
      </c>
      <c r="C1" t="s">
        <v>205</v>
      </c>
      <c r="D1" t="s">
        <v>206</v>
      </c>
      <c r="E1" t="s">
        <v>207</v>
      </c>
      <c r="F1" t="s">
        <v>208</v>
      </c>
      <c r="G1" t="s">
        <v>209</v>
      </c>
    </row>
    <row r="2" spans="1:7" x14ac:dyDescent="0.35">
      <c r="A2" t="s">
        <v>4</v>
      </c>
      <c r="B2" t="s">
        <v>210</v>
      </c>
      <c r="C2">
        <v>4</v>
      </c>
      <c r="D2">
        <v>4</v>
      </c>
      <c r="E2">
        <v>10</v>
      </c>
      <c r="F2">
        <v>10</v>
      </c>
      <c r="G2" t="s">
        <v>211</v>
      </c>
    </row>
    <row r="3" spans="1:7" x14ac:dyDescent="0.35">
      <c r="A3" t="s">
        <v>5</v>
      </c>
      <c r="B3" t="s">
        <v>212</v>
      </c>
      <c r="C3">
        <v>3.8</v>
      </c>
      <c r="D3">
        <v>3.8</v>
      </c>
      <c r="E3">
        <v>5.8</v>
      </c>
      <c r="F3">
        <v>5.8</v>
      </c>
      <c r="G3" t="s">
        <v>213</v>
      </c>
    </row>
    <row r="4" spans="1:7" x14ac:dyDescent="0.35">
      <c r="A4" t="s">
        <v>6</v>
      </c>
      <c r="B4" t="s">
        <v>214</v>
      </c>
      <c r="C4">
        <v>11</v>
      </c>
      <c r="D4">
        <v>11</v>
      </c>
      <c r="E4">
        <v>17.5</v>
      </c>
      <c r="F4">
        <v>17.5</v>
      </c>
      <c r="G4" t="s">
        <v>215</v>
      </c>
    </row>
    <row r="5" spans="1:7" x14ac:dyDescent="0.35">
      <c r="A5" t="s">
        <v>7</v>
      </c>
      <c r="B5" t="s">
        <v>216</v>
      </c>
      <c r="C5">
        <v>33</v>
      </c>
      <c r="D5">
        <v>33</v>
      </c>
      <c r="E5">
        <v>52</v>
      </c>
      <c r="F5">
        <v>52</v>
      </c>
      <c r="G5" t="s">
        <v>217</v>
      </c>
    </row>
    <row r="6" spans="1:7" x14ac:dyDescent="0.35">
      <c r="A6" t="s">
        <v>8</v>
      </c>
      <c r="B6" t="s">
        <v>210</v>
      </c>
      <c r="C6">
        <v>150</v>
      </c>
      <c r="D6">
        <v>150</v>
      </c>
      <c r="E6">
        <v>400</v>
      </c>
      <c r="F6">
        <v>400</v>
      </c>
      <c r="G6" t="s">
        <v>218</v>
      </c>
    </row>
    <row r="7" spans="1:7" x14ac:dyDescent="0.35">
      <c r="A7" t="s">
        <v>9</v>
      </c>
      <c r="B7" t="s">
        <v>219</v>
      </c>
      <c r="C7">
        <v>70</v>
      </c>
      <c r="D7">
        <v>70</v>
      </c>
      <c r="E7">
        <v>99</v>
      </c>
      <c r="F7">
        <v>99</v>
      </c>
      <c r="G7" t="s">
        <v>220</v>
      </c>
    </row>
    <row r="8" spans="1:7" x14ac:dyDescent="0.35">
      <c r="A8" t="s">
        <v>10</v>
      </c>
      <c r="B8" t="s">
        <v>219</v>
      </c>
      <c r="C8">
        <v>0.5</v>
      </c>
      <c r="D8">
        <v>0.5</v>
      </c>
      <c r="E8">
        <v>1.2</v>
      </c>
      <c r="F8">
        <v>1.2</v>
      </c>
      <c r="G8" t="s">
        <v>221</v>
      </c>
    </row>
    <row r="9" spans="1:7" x14ac:dyDescent="0.35">
      <c r="A9" t="s">
        <v>11</v>
      </c>
      <c r="B9" t="s">
        <v>222</v>
      </c>
      <c r="C9">
        <v>7</v>
      </c>
      <c r="D9">
        <v>7</v>
      </c>
      <c r="E9">
        <v>56</v>
      </c>
      <c r="F9">
        <v>56</v>
      </c>
      <c r="G9" t="s">
        <v>223</v>
      </c>
    </row>
    <row r="10" spans="1:7" x14ac:dyDescent="0.35">
      <c r="A10" t="s">
        <v>12</v>
      </c>
      <c r="B10" t="s">
        <v>222</v>
      </c>
      <c r="C10">
        <v>10</v>
      </c>
      <c r="D10">
        <v>10</v>
      </c>
      <c r="E10">
        <v>40</v>
      </c>
      <c r="F10">
        <v>40</v>
      </c>
      <c r="G10" t="s">
        <v>224</v>
      </c>
    </row>
    <row r="11" spans="1:7" x14ac:dyDescent="0.35">
      <c r="A11" t="s">
        <v>13</v>
      </c>
      <c r="B11" t="s">
        <v>219</v>
      </c>
      <c r="C11">
        <v>0</v>
      </c>
      <c r="D11">
        <v>0</v>
      </c>
      <c r="E11">
        <v>200</v>
      </c>
      <c r="F11">
        <v>200</v>
      </c>
      <c r="G11" t="s">
        <v>225</v>
      </c>
    </row>
    <row r="12" spans="1:7" x14ac:dyDescent="0.35">
      <c r="A12" t="s">
        <v>14</v>
      </c>
      <c r="B12" t="s">
        <v>219</v>
      </c>
      <c r="C12">
        <v>0</v>
      </c>
      <c r="D12">
        <v>0</v>
      </c>
      <c r="E12">
        <v>130</v>
      </c>
      <c r="F12">
        <v>130</v>
      </c>
      <c r="G12" t="s">
        <v>226</v>
      </c>
    </row>
    <row r="13" spans="1:7" x14ac:dyDescent="0.35">
      <c r="A13" t="s">
        <v>15</v>
      </c>
      <c r="B13" t="s">
        <v>219</v>
      </c>
      <c r="C13">
        <v>40</v>
      </c>
      <c r="D13">
        <v>40</v>
      </c>
      <c r="F13">
        <v>40</v>
      </c>
      <c r="G13" t="s">
        <v>227</v>
      </c>
    </row>
    <row r="14" spans="1:7" x14ac:dyDescent="0.35">
      <c r="A14" t="s">
        <v>16</v>
      </c>
      <c r="B14" t="s">
        <v>219</v>
      </c>
      <c r="C14">
        <v>0</v>
      </c>
      <c r="D14">
        <v>0</v>
      </c>
      <c r="E14">
        <v>150</v>
      </c>
      <c r="F14">
        <v>150</v>
      </c>
      <c r="G14" t="s">
        <v>228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AF574-CE85-4BE7-AAAC-7CB1F6080105}">
  <dimension ref="A1:N29"/>
  <sheetViews>
    <sheetView workbookViewId="0">
      <selection activeCell="C1" sqref="C1"/>
    </sheetView>
  </sheetViews>
  <sheetFormatPr defaultRowHeight="14.5" x14ac:dyDescent="0.35"/>
  <cols>
    <col min="1" max="1" width="11.7265625" bestFit="1" customWidth="1"/>
    <col min="2" max="2" width="12.54296875" bestFit="1" customWidth="1"/>
    <col min="3" max="3" width="12.26953125" bestFit="1" customWidth="1"/>
    <col min="4" max="4" width="6.08984375" bestFit="1" customWidth="1"/>
    <col min="5" max="5" width="9.1796875" bestFit="1" customWidth="1"/>
    <col min="6" max="6" width="16.7265625" bestFit="1" customWidth="1"/>
    <col min="7" max="7" width="21.453125" bestFit="1" customWidth="1"/>
    <col min="8" max="8" width="13.453125" bestFit="1" customWidth="1"/>
    <col min="9" max="9" width="11.453125" bestFit="1" customWidth="1"/>
    <col min="10" max="10" width="20.26953125" bestFit="1" customWidth="1"/>
    <col min="11" max="11" width="18.1796875" bestFit="1" customWidth="1"/>
    <col min="12" max="12" width="13.26953125" bestFit="1" customWidth="1"/>
    <col min="13" max="13" width="12" bestFit="1" customWidth="1"/>
    <col min="14" max="14" width="14.7265625" bestFit="1" customWidth="1"/>
    <col min="15" max="15" width="14.36328125" bestFit="1" customWidth="1"/>
    <col min="16" max="16" width="14.36328125" customWidth="1"/>
    <col min="17" max="17" width="12.08984375" bestFit="1" customWidth="1"/>
    <col min="18" max="18" width="20.81640625" bestFit="1" customWidth="1"/>
  </cols>
  <sheetData>
    <row r="1" spans="1:14" x14ac:dyDescent="0.35">
      <c r="A1" t="s">
        <v>0</v>
      </c>
      <c r="B1" t="s">
        <v>48</v>
      </c>
      <c r="C1" t="s">
        <v>49</v>
      </c>
      <c r="D1" t="s">
        <v>44</v>
      </c>
      <c r="E1" t="s">
        <v>45</v>
      </c>
      <c r="F1" t="s">
        <v>50</v>
      </c>
      <c r="G1" t="s">
        <v>51</v>
      </c>
      <c r="H1" t="s">
        <v>52</v>
      </c>
      <c r="I1" t="s">
        <v>53</v>
      </c>
      <c r="J1" t="s">
        <v>54</v>
      </c>
      <c r="K1" t="s">
        <v>238</v>
      </c>
      <c r="L1" t="s">
        <v>239</v>
      </c>
      <c r="M1" t="s">
        <v>246</v>
      </c>
      <c r="N1" t="s">
        <v>253</v>
      </c>
    </row>
    <row r="2" spans="1:14" x14ac:dyDescent="0.35">
      <c r="A2" t="s">
        <v>3</v>
      </c>
      <c r="B2" t="s">
        <v>55</v>
      </c>
      <c r="C2" t="s">
        <v>56</v>
      </c>
      <c r="D2">
        <v>45</v>
      </c>
      <c r="E2" t="s">
        <v>47</v>
      </c>
      <c r="F2" t="s">
        <v>57</v>
      </c>
      <c r="G2" t="s">
        <v>58</v>
      </c>
      <c r="H2">
        <v>34117</v>
      </c>
      <c r="I2" t="s">
        <v>59</v>
      </c>
      <c r="J2" t="s">
        <v>60</v>
      </c>
      <c r="K2">
        <v>40</v>
      </c>
      <c r="L2" t="s">
        <v>240</v>
      </c>
      <c r="M2" t="s">
        <v>250</v>
      </c>
      <c r="N2" t="s">
        <v>251</v>
      </c>
    </row>
    <row r="3" spans="1:14" x14ac:dyDescent="0.35">
      <c r="A3" t="s">
        <v>17</v>
      </c>
      <c r="B3" t="s">
        <v>61</v>
      </c>
      <c r="C3" t="s">
        <v>62</v>
      </c>
      <c r="D3">
        <v>62</v>
      </c>
      <c r="E3" t="s">
        <v>46</v>
      </c>
      <c r="F3" t="s">
        <v>57</v>
      </c>
      <c r="G3" t="s">
        <v>63</v>
      </c>
      <c r="H3">
        <v>34123</v>
      </c>
      <c r="I3" t="s">
        <v>64</v>
      </c>
      <c r="J3" t="s">
        <v>65</v>
      </c>
      <c r="K3">
        <v>60</v>
      </c>
      <c r="L3" t="s">
        <v>241</v>
      </c>
      <c r="M3" t="s">
        <v>247</v>
      </c>
      <c r="N3" t="s">
        <v>252</v>
      </c>
    </row>
    <row r="4" spans="1:14" x14ac:dyDescent="0.35">
      <c r="A4" t="s">
        <v>18</v>
      </c>
      <c r="B4" t="s">
        <v>66</v>
      </c>
      <c r="C4" t="s">
        <v>67</v>
      </c>
      <c r="D4">
        <v>29</v>
      </c>
      <c r="E4" t="s">
        <v>47</v>
      </c>
      <c r="F4" t="s">
        <v>68</v>
      </c>
      <c r="G4" t="s">
        <v>69</v>
      </c>
      <c r="H4">
        <v>34225</v>
      </c>
      <c r="I4" t="s">
        <v>70</v>
      </c>
      <c r="J4" t="s">
        <v>71</v>
      </c>
      <c r="K4">
        <v>20</v>
      </c>
      <c r="L4" t="s">
        <v>242</v>
      </c>
      <c r="M4" t="s">
        <v>250</v>
      </c>
      <c r="N4" t="s">
        <v>251</v>
      </c>
    </row>
    <row r="5" spans="1:14" x14ac:dyDescent="0.35">
      <c r="A5" t="s">
        <v>19</v>
      </c>
      <c r="B5" t="s">
        <v>72</v>
      </c>
      <c r="C5" t="s">
        <v>73</v>
      </c>
      <c r="D5">
        <v>51</v>
      </c>
      <c r="E5" t="s">
        <v>46</v>
      </c>
      <c r="F5" t="s">
        <v>57</v>
      </c>
      <c r="G5" t="s">
        <v>74</v>
      </c>
      <c r="H5">
        <v>34127</v>
      </c>
      <c r="I5" t="s">
        <v>75</v>
      </c>
      <c r="J5" t="s">
        <v>76</v>
      </c>
      <c r="K5">
        <v>50</v>
      </c>
      <c r="L5" t="s">
        <v>243</v>
      </c>
      <c r="M5" t="s">
        <v>247</v>
      </c>
      <c r="N5" t="s">
        <v>251</v>
      </c>
    </row>
    <row r="6" spans="1:14" x14ac:dyDescent="0.35">
      <c r="A6" t="s">
        <v>20</v>
      </c>
      <c r="B6" t="s">
        <v>77</v>
      </c>
      <c r="C6" t="s">
        <v>78</v>
      </c>
      <c r="D6">
        <v>38</v>
      </c>
      <c r="E6" t="s">
        <v>47</v>
      </c>
      <c r="F6" t="s">
        <v>57</v>
      </c>
      <c r="G6" t="s">
        <v>79</v>
      </c>
      <c r="H6">
        <v>34119</v>
      </c>
      <c r="I6" t="s">
        <v>80</v>
      </c>
      <c r="J6" t="s">
        <v>81</v>
      </c>
      <c r="K6">
        <v>30</v>
      </c>
      <c r="L6" t="s">
        <v>244</v>
      </c>
      <c r="M6" t="s">
        <v>250</v>
      </c>
      <c r="N6" t="s">
        <v>251</v>
      </c>
    </row>
    <row r="7" spans="1:14" x14ac:dyDescent="0.35">
      <c r="A7" t="s">
        <v>21</v>
      </c>
      <c r="B7" t="s">
        <v>82</v>
      </c>
      <c r="C7" t="s">
        <v>83</v>
      </c>
      <c r="D7">
        <v>70</v>
      </c>
      <c r="E7" t="s">
        <v>46</v>
      </c>
      <c r="F7" t="s">
        <v>84</v>
      </c>
      <c r="G7" t="s">
        <v>85</v>
      </c>
      <c r="H7">
        <v>37235</v>
      </c>
      <c r="I7" t="s">
        <v>86</v>
      </c>
      <c r="J7" t="s">
        <v>87</v>
      </c>
      <c r="K7">
        <v>70</v>
      </c>
      <c r="L7" t="s">
        <v>245</v>
      </c>
      <c r="M7" t="s">
        <v>247</v>
      </c>
      <c r="N7" t="s">
        <v>252</v>
      </c>
    </row>
    <row r="8" spans="1:14" x14ac:dyDescent="0.35">
      <c r="A8" t="s">
        <v>22</v>
      </c>
      <c r="B8" t="s">
        <v>88</v>
      </c>
      <c r="C8" t="s">
        <v>89</v>
      </c>
      <c r="D8">
        <v>33</v>
      </c>
      <c r="E8" t="s">
        <v>47</v>
      </c>
      <c r="F8" t="s">
        <v>57</v>
      </c>
      <c r="G8" t="s">
        <v>90</v>
      </c>
      <c r="H8">
        <v>34117</v>
      </c>
      <c r="I8" t="s">
        <v>91</v>
      </c>
      <c r="J8" t="s">
        <v>92</v>
      </c>
      <c r="K8">
        <v>30</v>
      </c>
      <c r="L8" t="s">
        <v>244</v>
      </c>
      <c r="M8" t="s">
        <v>250</v>
      </c>
      <c r="N8" t="s">
        <v>251</v>
      </c>
    </row>
    <row r="9" spans="1:14" x14ac:dyDescent="0.35">
      <c r="A9" t="s">
        <v>23</v>
      </c>
      <c r="B9" t="s">
        <v>93</v>
      </c>
      <c r="C9" t="s">
        <v>94</v>
      </c>
      <c r="D9">
        <v>58</v>
      </c>
      <c r="E9" t="s">
        <v>46</v>
      </c>
      <c r="F9" t="s">
        <v>95</v>
      </c>
      <c r="G9" t="s">
        <v>96</v>
      </c>
      <c r="H9">
        <v>34266</v>
      </c>
      <c r="I9" t="s">
        <v>97</v>
      </c>
      <c r="J9" t="s">
        <v>98</v>
      </c>
      <c r="K9">
        <v>50</v>
      </c>
      <c r="L9" t="s">
        <v>243</v>
      </c>
      <c r="M9" t="s">
        <v>247</v>
      </c>
      <c r="N9" t="s">
        <v>252</v>
      </c>
    </row>
    <row r="10" spans="1:14" x14ac:dyDescent="0.35">
      <c r="A10" t="s">
        <v>24</v>
      </c>
      <c r="B10" t="s">
        <v>99</v>
      </c>
      <c r="C10" t="s">
        <v>100</v>
      </c>
      <c r="D10">
        <v>47</v>
      </c>
      <c r="E10" t="s">
        <v>47</v>
      </c>
      <c r="F10" t="s">
        <v>57</v>
      </c>
      <c r="G10" t="s">
        <v>101</v>
      </c>
      <c r="H10">
        <v>34119</v>
      </c>
      <c r="I10" t="s">
        <v>102</v>
      </c>
      <c r="J10" t="s">
        <v>103</v>
      </c>
      <c r="K10">
        <v>40</v>
      </c>
      <c r="L10" t="s">
        <v>240</v>
      </c>
      <c r="M10" t="s">
        <v>250</v>
      </c>
      <c r="N10" t="s">
        <v>251</v>
      </c>
    </row>
    <row r="11" spans="1:14" x14ac:dyDescent="0.35">
      <c r="A11" t="s">
        <v>25</v>
      </c>
      <c r="B11" t="s">
        <v>104</v>
      </c>
      <c r="C11" t="s">
        <v>105</v>
      </c>
      <c r="D11">
        <v>65</v>
      </c>
      <c r="E11" t="s">
        <v>46</v>
      </c>
      <c r="F11" t="s">
        <v>106</v>
      </c>
      <c r="G11" t="s">
        <v>107</v>
      </c>
      <c r="H11">
        <v>34277</v>
      </c>
      <c r="I11" t="s">
        <v>108</v>
      </c>
      <c r="J11" t="s">
        <v>109</v>
      </c>
      <c r="K11">
        <v>60</v>
      </c>
      <c r="L11" t="s">
        <v>241</v>
      </c>
      <c r="M11" t="s">
        <v>247</v>
      </c>
      <c r="N11" t="s">
        <v>252</v>
      </c>
    </row>
    <row r="12" spans="1:14" x14ac:dyDescent="0.35">
      <c r="A12" t="s">
        <v>26</v>
      </c>
      <c r="B12" t="s">
        <v>110</v>
      </c>
      <c r="C12" t="s">
        <v>111</v>
      </c>
      <c r="D12">
        <v>25</v>
      </c>
      <c r="E12" t="s">
        <v>47</v>
      </c>
      <c r="F12" t="s">
        <v>57</v>
      </c>
      <c r="G12" t="s">
        <v>112</v>
      </c>
      <c r="H12">
        <v>34131</v>
      </c>
      <c r="I12" t="s">
        <v>113</v>
      </c>
      <c r="J12" t="s">
        <v>114</v>
      </c>
      <c r="K12">
        <v>20</v>
      </c>
      <c r="L12" t="s">
        <v>242</v>
      </c>
      <c r="M12" t="s">
        <v>250</v>
      </c>
      <c r="N12" t="s">
        <v>251</v>
      </c>
    </row>
    <row r="13" spans="1:14" x14ac:dyDescent="0.35">
      <c r="A13" t="s">
        <v>27</v>
      </c>
      <c r="B13" t="s">
        <v>115</v>
      </c>
      <c r="C13" t="s">
        <v>116</v>
      </c>
      <c r="D13">
        <v>44</v>
      </c>
      <c r="E13" t="s">
        <v>46</v>
      </c>
      <c r="F13" t="s">
        <v>117</v>
      </c>
      <c r="G13" t="s">
        <v>118</v>
      </c>
      <c r="H13">
        <v>34253</v>
      </c>
      <c r="I13" t="s">
        <v>119</v>
      </c>
      <c r="J13" t="s">
        <v>120</v>
      </c>
      <c r="K13">
        <v>40</v>
      </c>
      <c r="L13" t="s">
        <v>240</v>
      </c>
      <c r="M13" t="s">
        <v>250</v>
      </c>
      <c r="N13" t="s">
        <v>252</v>
      </c>
    </row>
    <row r="14" spans="1:14" x14ac:dyDescent="0.35">
      <c r="A14" t="s">
        <v>28</v>
      </c>
      <c r="B14" t="s">
        <v>121</v>
      </c>
      <c r="C14" t="s">
        <v>122</v>
      </c>
      <c r="D14">
        <v>72</v>
      </c>
      <c r="E14" t="s">
        <v>47</v>
      </c>
      <c r="F14" t="s">
        <v>57</v>
      </c>
      <c r="G14" t="s">
        <v>123</v>
      </c>
      <c r="H14">
        <v>34117</v>
      </c>
      <c r="I14" t="s">
        <v>124</v>
      </c>
      <c r="J14" t="s">
        <v>125</v>
      </c>
      <c r="K14">
        <v>70</v>
      </c>
      <c r="L14" t="s">
        <v>245</v>
      </c>
      <c r="M14" t="s">
        <v>247</v>
      </c>
      <c r="N14" t="s">
        <v>252</v>
      </c>
    </row>
    <row r="15" spans="1:14" x14ac:dyDescent="0.35">
      <c r="A15" t="s">
        <v>29</v>
      </c>
      <c r="B15" t="s">
        <v>126</v>
      </c>
      <c r="C15" t="s">
        <v>127</v>
      </c>
      <c r="D15">
        <v>39</v>
      </c>
      <c r="E15" t="s">
        <v>46</v>
      </c>
      <c r="F15" t="s">
        <v>57</v>
      </c>
      <c r="G15" t="s">
        <v>128</v>
      </c>
      <c r="H15">
        <v>34117</v>
      </c>
      <c r="I15" t="s">
        <v>129</v>
      </c>
      <c r="J15" t="s">
        <v>130</v>
      </c>
      <c r="K15">
        <v>30</v>
      </c>
      <c r="L15" t="s">
        <v>244</v>
      </c>
      <c r="M15" t="s">
        <v>250</v>
      </c>
      <c r="N15" t="s">
        <v>251</v>
      </c>
    </row>
    <row r="16" spans="1:14" x14ac:dyDescent="0.35">
      <c r="A16" t="s">
        <v>30</v>
      </c>
      <c r="B16" t="s">
        <v>131</v>
      </c>
      <c r="C16" t="s">
        <v>132</v>
      </c>
      <c r="D16">
        <v>55</v>
      </c>
      <c r="E16" t="s">
        <v>47</v>
      </c>
      <c r="F16" t="s">
        <v>133</v>
      </c>
      <c r="G16" t="s">
        <v>134</v>
      </c>
      <c r="H16">
        <v>34246</v>
      </c>
      <c r="I16" t="s">
        <v>135</v>
      </c>
      <c r="J16" t="s">
        <v>136</v>
      </c>
      <c r="K16">
        <v>50</v>
      </c>
      <c r="L16" t="s">
        <v>243</v>
      </c>
      <c r="M16" t="s">
        <v>247</v>
      </c>
      <c r="N16" t="s">
        <v>251</v>
      </c>
    </row>
    <row r="17" spans="1:14" x14ac:dyDescent="0.35">
      <c r="A17" t="s">
        <v>31</v>
      </c>
      <c r="B17" t="s">
        <v>137</v>
      </c>
      <c r="C17" t="s">
        <v>138</v>
      </c>
      <c r="D17">
        <v>48</v>
      </c>
      <c r="E17" t="s">
        <v>46</v>
      </c>
      <c r="F17" t="s">
        <v>57</v>
      </c>
      <c r="G17" t="s">
        <v>139</v>
      </c>
      <c r="H17">
        <v>34121</v>
      </c>
      <c r="I17" t="s">
        <v>140</v>
      </c>
      <c r="J17" t="s">
        <v>141</v>
      </c>
      <c r="K17">
        <v>40</v>
      </c>
      <c r="L17" t="s">
        <v>240</v>
      </c>
      <c r="M17" t="s">
        <v>250</v>
      </c>
      <c r="N17" t="s">
        <v>251</v>
      </c>
    </row>
    <row r="18" spans="1:14" x14ac:dyDescent="0.35">
      <c r="A18" t="s">
        <v>32</v>
      </c>
      <c r="B18" t="s">
        <v>142</v>
      </c>
      <c r="C18" t="s">
        <v>143</v>
      </c>
      <c r="D18">
        <v>31</v>
      </c>
      <c r="E18" t="s">
        <v>47</v>
      </c>
      <c r="F18" t="s">
        <v>57</v>
      </c>
      <c r="G18" t="s">
        <v>144</v>
      </c>
      <c r="H18">
        <v>34130</v>
      </c>
      <c r="I18" t="s">
        <v>145</v>
      </c>
      <c r="J18" t="s">
        <v>146</v>
      </c>
      <c r="K18">
        <v>30</v>
      </c>
      <c r="L18" t="s">
        <v>244</v>
      </c>
      <c r="M18" t="s">
        <v>250</v>
      </c>
      <c r="N18" t="s">
        <v>251</v>
      </c>
    </row>
    <row r="19" spans="1:14" x14ac:dyDescent="0.35">
      <c r="A19" t="s">
        <v>33</v>
      </c>
      <c r="B19" t="s">
        <v>147</v>
      </c>
      <c r="C19" t="s">
        <v>148</v>
      </c>
      <c r="D19">
        <v>60</v>
      </c>
      <c r="E19" t="s">
        <v>46</v>
      </c>
      <c r="F19" t="s">
        <v>149</v>
      </c>
      <c r="G19" t="s">
        <v>150</v>
      </c>
      <c r="H19">
        <v>34320</v>
      </c>
      <c r="I19" t="s">
        <v>151</v>
      </c>
      <c r="J19" t="s">
        <v>152</v>
      </c>
      <c r="K19">
        <v>60</v>
      </c>
      <c r="L19" t="s">
        <v>241</v>
      </c>
      <c r="M19" t="s">
        <v>247</v>
      </c>
      <c r="N19" t="s">
        <v>252</v>
      </c>
    </row>
    <row r="20" spans="1:14" x14ac:dyDescent="0.35">
      <c r="A20" t="s">
        <v>34</v>
      </c>
      <c r="B20" t="s">
        <v>153</v>
      </c>
      <c r="C20" t="s">
        <v>154</v>
      </c>
      <c r="D20">
        <v>42</v>
      </c>
      <c r="E20" t="s">
        <v>47</v>
      </c>
      <c r="F20" t="s">
        <v>57</v>
      </c>
      <c r="G20" t="s">
        <v>155</v>
      </c>
      <c r="H20">
        <v>34125</v>
      </c>
      <c r="I20" t="s">
        <v>156</v>
      </c>
      <c r="J20" t="s">
        <v>157</v>
      </c>
      <c r="K20">
        <v>40</v>
      </c>
      <c r="L20" t="s">
        <v>240</v>
      </c>
      <c r="M20" t="s">
        <v>250</v>
      </c>
      <c r="N20" t="s">
        <v>251</v>
      </c>
    </row>
    <row r="21" spans="1:14" x14ac:dyDescent="0.35">
      <c r="A21" t="s">
        <v>35</v>
      </c>
      <c r="B21" t="s">
        <v>158</v>
      </c>
      <c r="C21" t="s">
        <v>159</v>
      </c>
      <c r="D21">
        <v>67</v>
      </c>
      <c r="E21" t="s">
        <v>46</v>
      </c>
      <c r="F21" t="s">
        <v>57</v>
      </c>
      <c r="G21" t="s">
        <v>160</v>
      </c>
      <c r="H21">
        <v>34117</v>
      </c>
      <c r="I21" t="s">
        <v>161</v>
      </c>
      <c r="J21" t="s">
        <v>162</v>
      </c>
      <c r="K21">
        <v>60</v>
      </c>
      <c r="L21" t="s">
        <v>241</v>
      </c>
      <c r="M21" t="s">
        <v>247</v>
      </c>
      <c r="N21" t="s">
        <v>252</v>
      </c>
    </row>
    <row r="22" spans="1:14" x14ac:dyDescent="0.35">
      <c r="A22" t="s">
        <v>36</v>
      </c>
      <c r="B22" t="s">
        <v>163</v>
      </c>
      <c r="C22" t="s">
        <v>164</v>
      </c>
      <c r="D22">
        <v>36</v>
      </c>
      <c r="E22" t="s">
        <v>47</v>
      </c>
      <c r="F22" t="s">
        <v>165</v>
      </c>
      <c r="G22" t="s">
        <v>166</v>
      </c>
      <c r="H22">
        <v>34355</v>
      </c>
      <c r="I22" t="s">
        <v>167</v>
      </c>
      <c r="J22" t="s">
        <v>168</v>
      </c>
      <c r="K22">
        <v>30</v>
      </c>
      <c r="L22" t="s">
        <v>244</v>
      </c>
      <c r="M22" t="s">
        <v>250</v>
      </c>
      <c r="N22" t="s">
        <v>251</v>
      </c>
    </row>
    <row r="23" spans="1:14" x14ac:dyDescent="0.35">
      <c r="A23" t="s">
        <v>37</v>
      </c>
      <c r="B23" t="s">
        <v>169</v>
      </c>
      <c r="C23" t="s">
        <v>170</v>
      </c>
      <c r="D23">
        <v>53</v>
      </c>
      <c r="E23" t="s">
        <v>46</v>
      </c>
      <c r="F23" t="s">
        <v>57</v>
      </c>
      <c r="G23" t="s">
        <v>171</v>
      </c>
      <c r="H23">
        <v>34117</v>
      </c>
      <c r="I23" t="s">
        <v>172</v>
      </c>
      <c r="J23" t="s">
        <v>173</v>
      </c>
      <c r="K23">
        <v>50</v>
      </c>
      <c r="L23" t="s">
        <v>243</v>
      </c>
      <c r="M23" t="s">
        <v>247</v>
      </c>
      <c r="N23" t="s">
        <v>251</v>
      </c>
    </row>
    <row r="24" spans="1:14" x14ac:dyDescent="0.35">
      <c r="A24" t="s">
        <v>38</v>
      </c>
      <c r="B24" t="s">
        <v>174</v>
      </c>
      <c r="C24" t="s">
        <v>175</v>
      </c>
      <c r="D24">
        <v>61</v>
      </c>
      <c r="E24" t="s">
        <v>47</v>
      </c>
      <c r="F24" t="s">
        <v>176</v>
      </c>
      <c r="G24" t="s">
        <v>177</v>
      </c>
      <c r="H24">
        <v>34260</v>
      </c>
      <c r="I24" t="s">
        <v>178</v>
      </c>
      <c r="J24" t="s">
        <v>179</v>
      </c>
      <c r="K24">
        <v>60</v>
      </c>
      <c r="L24" t="s">
        <v>241</v>
      </c>
      <c r="M24" t="s">
        <v>247</v>
      </c>
      <c r="N24" t="s">
        <v>252</v>
      </c>
    </row>
    <row r="25" spans="1:14" x14ac:dyDescent="0.35">
      <c r="A25" t="s">
        <v>39</v>
      </c>
      <c r="B25" t="s">
        <v>180</v>
      </c>
      <c r="C25" t="s">
        <v>181</v>
      </c>
      <c r="D25">
        <v>49</v>
      </c>
      <c r="E25" t="s">
        <v>46</v>
      </c>
      <c r="F25" t="s">
        <v>57</v>
      </c>
      <c r="G25" t="s">
        <v>182</v>
      </c>
      <c r="H25">
        <v>34128</v>
      </c>
      <c r="I25" t="s">
        <v>183</v>
      </c>
      <c r="J25" t="s">
        <v>184</v>
      </c>
      <c r="K25">
        <v>40</v>
      </c>
      <c r="L25" t="s">
        <v>240</v>
      </c>
      <c r="M25" t="s">
        <v>250</v>
      </c>
      <c r="N25" t="s">
        <v>251</v>
      </c>
    </row>
    <row r="26" spans="1:14" x14ac:dyDescent="0.35">
      <c r="A26" t="s">
        <v>40</v>
      </c>
      <c r="B26" t="s">
        <v>185</v>
      </c>
      <c r="C26" t="s">
        <v>186</v>
      </c>
      <c r="D26">
        <v>74</v>
      </c>
      <c r="E26" t="s">
        <v>47</v>
      </c>
      <c r="F26" t="s">
        <v>57</v>
      </c>
      <c r="G26" t="s">
        <v>187</v>
      </c>
      <c r="H26">
        <v>34119</v>
      </c>
      <c r="I26" t="s">
        <v>188</v>
      </c>
      <c r="J26" t="s">
        <v>189</v>
      </c>
      <c r="K26">
        <v>70</v>
      </c>
      <c r="L26" t="s">
        <v>245</v>
      </c>
      <c r="M26" t="s">
        <v>247</v>
      </c>
      <c r="N26" t="s">
        <v>252</v>
      </c>
    </row>
    <row r="27" spans="1:14" x14ac:dyDescent="0.35">
      <c r="A27" t="s">
        <v>41</v>
      </c>
      <c r="B27" t="s">
        <v>190</v>
      </c>
      <c r="C27" t="s">
        <v>191</v>
      </c>
      <c r="D27">
        <v>27</v>
      </c>
      <c r="E27" t="s">
        <v>46</v>
      </c>
      <c r="F27" t="s">
        <v>57</v>
      </c>
      <c r="G27" t="s">
        <v>192</v>
      </c>
      <c r="H27">
        <v>34117</v>
      </c>
      <c r="I27" t="s">
        <v>193</v>
      </c>
      <c r="J27" t="s">
        <v>194</v>
      </c>
      <c r="K27">
        <v>20</v>
      </c>
      <c r="L27" t="s">
        <v>242</v>
      </c>
      <c r="M27" t="s">
        <v>250</v>
      </c>
      <c r="N27" t="s">
        <v>251</v>
      </c>
    </row>
    <row r="28" spans="1:14" x14ac:dyDescent="0.35">
      <c r="A28" t="s">
        <v>42</v>
      </c>
      <c r="B28" t="s">
        <v>195</v>
      </c>
      <c r="C28" t="s">
        <v>83</v>
      </c>
      <c r="D28">
        <v>58</v>
      </c>
      <c r="E28" t="s">
        <v>47</v>
      </c>
      <c r="F28" t="s">
        <v>68</v>
      </c>
      <c r="G28" t="s">
        <v>196</v>
      </c>
      <c r="H28">
        <v>34225</v>
      </c>
      <c r="I28" t="s">
        <v>197</v>
      </c>
      <c r="J28" t="s">
        <v>198</v>
      </c>
      <c r="K28">
        <v>50</v>
      </c>
      <c r="L28" t="s">
        <v>243</v>
      </c>
      <c r="M28" t="s">
        <v>247</v>
      </c>
      <c r="N28" t="s">
        <v>252</v>
      </c>
    </row>
    <row r="29" spans="1:14" x14ac:dyDescent="0.35">
      <c r="A29" t="s">
        <v>43</v>
      </c>
      <c r="B29" t="s">
        <v>199</v>
      </c>
      <c r="C29" t="s">
        <v>200</v>
      </c>
      <c r="D29">
        <v>63</v>
      </c>
      <c r="E29" t="s">
        <v>46</v>
      </c>
      <c r="F29" t="s">
        <v>57</v>
      </c>
      <c r="G29" t="s">
        <v>201</v>
      </c>
      <c r="H29">
        <v>34134</v>
      </c>
      <c r="I29" t="s">
        <v>202</v>
      </c>
      <c r="J29" t="s">
        <v>203</v>
      </c>
      <c r="K29">
        <v>60</v>
      </c>
      <c r="L29" t="s">
        <v>241</v>
      </c>
      <c r="M29" t="s">
        <v>247</v>
      </c>
      <c r="N29" t="s">
        <v>252</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33969-041C-4C45-8EE3-6D5B09C609E7}">
  <dimension ref="A3:M12"/>
  <sheetViews>
    <sheetView workbookViewId="0">
      <selection activeCell="D9" sqref="D9"/>
    </sheetView>
  </sheetViews>
  <sheetFormatPr defaultRowHeight="14.5" x14ac:dyDescent="0.35"/>
  <cols>
    <col min="1" max="1" width="12.453125" bestFit="1" customWidth="1"/>
    <col min="2" max="2" width="15.6328125" bestFit="1" customWidth="1"/>
    <col min="3" max="3" width="18" bestFit="1" customWidth="1"/>
    <col min="4" max="4" width="19.36328125" bestFit="1" customWidth="1"/>
    <col min="5" max="5" width="17.81640625" bestFit="1" customWidth="1"/>
    <col min="6" max="6" width="15.453125" bestFit="1" customWidth="1"/>
    <col min="7" max="7" width="18" bestFit="1" customWidth="1"/>
    <col min="8" max="8" width="19.36328125" bestFit="1" customWidth="1"/>
    <col min="9" max="9" width="17.81640625" bestFit="1" customWidth="1"/>
    <col min="10" max="10" width="20" bestFit="1" customWidth="1"/>
    <col min="11" max="11" width="22.54296875" bestFit="1" customWidth="1"/>
    <col min="12" max="12" width="23.90625" bestFit="1" customWidth="1"/>
    <col min="13" max="13" width="22.36328125" bestFit="1" customWidth="1"/>
  </cols>
  <sheetData>
    <row r="3" spans="1:13" x14ac:dyDescent="0.35">
      <c r="B3" s="1" t="s">
        <v>262</v>
      </c>
    </row>
    <row r="4" spans="1:13" x14ac:dyDescent="0.35">
      <c r="B4" t="s">
        <v>252</v>
      </c>
      <c r="F4" t="s">
        <v>251</v>
      </c>
      <c r="J4" t="s">
        <v>263</v>
      </c>
      <c r="K4" t="s">
        <v>264</v>
      </c>
      <c r="L4" t="s">
        <v>265</v>
      </c>
      <c r="M4" t="s">
        <v>266</v>
      </c>
    </row>
    <row r="5" spans="1:13" x14ac:dyDescent="0.35">
      <c r="A5" s="1" t="s">
        <v>234</v>
      </c>
      <c r="B5" t="s">
        <v>236</v>
      </c>
      <c r="C5" t="s">
        <v>257</v>
      </c>
      <c r="D5" t="s">
        <v>255</v>
      </c>
      <c r="E5" t="s">
        <v>256</v>
      </c>
      <c r="F5" t="s">
        <v>236</v>
      </c>
      <c r="G5" t="s">
        <v>257</v>
      </c>
      <c r="H5" t="s">
        <v>255</v>
      </c>
      <c r="I5" t="s">
        <v>256</v>
      </c>
    </row>
    <row r="6" spans="1:13" x14ac:dyDescent="0.35">
      <c r="A6" s="2" t="s">
        <v>47</v>
      </c>
    </row>
    <row r="7" spans="1:13" x14ac:dyDescent="0.35">
      <c r="A7" s="4" t="s">
        <v>250</v>
      </c>
      <c r="B7" s="3"/>
      <c r="C7" s="5"/>
      <c r="D7" s="3"/>
      <c r="E7" s="5"/>
      <c r="F7" s="3">
        <v>0</v>
      </c>
      <c r="G7" s="5">
        <v>0</v>
      </c>
      <c r="H7" s="3">
        <v>0</v>
      </c>
      <c r="I7" s="5">
        <v>0</v>
      </c>
      <c r="J7" s="3">
        <v>0</v>
      </c>
      <c r="K7" s="5">
        <v>0</v>
      </c>
      <c r="L7" s="3">
        <v>0</v>
      </c>
      <c r="M7" s="5">
        <v>0</v>
      </c>
    </row>
    <row r="8" spans="1:13" x14ac:dyDescent="0.35">
      <c r="A8" s="4" t="s">
        <v>247</v>
      </c>
      <c r="B8" s="3">
        <v>4</v>
      </c>
      <c r="C8" s="5">
        <v>1</v>
      </c>
      <c r="D8" s="3">
        <v>3</v>
      </c>
      <c r="E8" s="5">
        <v>0.75</v>
      </c>
      <c r="F8" s="3">
        <v>0</v>
      </c>
      <c r="G8" s="5">
        <v>0</v>
      </c>
      <c r="H8" s="3">
        <v>0</v>
      </c>
      <c r="I8" s="5">
        <v>0</v>
      </c>
      <c r="J8" s="3">
        <v>4</v>
      </c>
      <c r="K8" s="5">
        <v>0.8</v>
      </c>
      <c r="L8" s="3">
        <v>3</v>
      </c>
      <c r="M8" s="5">
        <v>0.6</v>
      </c>
    </row>
    <row r="9" spans="1:13" x14ac:dyDescent="0.35">
      <c r="A9" s="2" t="s">
        <v>46</v>
      </c>
    </row>
    <row r="10" spans="1:13" x14ac:dyDescent="0.35">
      <c r="A10" s="4" t="s">
        <v>250</v>
      </c>
      <c r="B10" s="3">
        <v>1</v>
      </c>
      <c r="C10" s="5">
        <v>1</v>
      </c>
      <c r="D10" s="3">
        <v>0</v>
      </c>
      <c r="E10" s="5">
        <v>0</v>
      </c>
      <c r="F10" s="3">
        <v>0</v>
      </c>
      <c r="G10" s="5">
        <v>0</v>
      </c>
      <c r="H10" s="3">
        <v>0</v>
      </c>
      <c r="I10" s="5">
        <v>0</v>
      </c>
      <c r="J10" s="3">
        <v>1</v>
      </c>
      <c r="K10" s="5">
        <v>0.2</v>
      </c>
      <c r="L10" s="3">
        <v>0</v>
      </c>
      <c r="M10" s="5">
        <v>0</v>
      </c>
    </row>
    <row r="11" spans="1:13" x14ac:dyDescent="0.35">
      <c r="A11" s="4" t="s">
        <v>247</v>
      </c>
      <c r="B11" s="3">
        <v>7</v>
      </c>
      <c r="C11" s="5">
        <v>1</v>
      </c>
      <c r="D11" s="3">
        <v>4</v>
      </c>
      <c r="E11" s="5">
        <v>0.5714285714285714</v>
      </c>
      <c r="F11" s="3">
        <v>0</v>
      </c>
      <c r="G11" s="5">
        <v>0</v>
      </c>
      <c r="H11" s="3">
        <v>0</v>
      </c>
      <c r="I11" s="5">
        <v>0</v>
      </c>
      <c r="J11" s="3">
        <v>7</v>
      </c>
      <c r="K11" s="5">
        <v>0.77777777777777779</v>
      </c>
      <c r="L11" s="3">
        <v>4</v>
      </c>
      <c r="M11" s="5">
        <v>0.44444444444444442</v>
      </c>
    </row>
    <row r="12" spans="1:13" x14ac:dyDescent="0.35">
      <c r="A12" s="2" t="s">
        <v>235</v>
      </c>
      <c r="B12" s="3">
        <v>12</v>
      </c>
      <c r="C12" s="5">
        <v>1</v>
      </c>
      <c r="D12" s="3">
        <v>7</v>
      </c>
      <c r="E12" s="5">
        <v>0.58333333333333337</v>
      </c>
      <c r="F12" s="3">
        <v>0</v>
      </c>
      <c r="G12" s="5">
        <v>0</v>
      </c>
      <c r="H12" s="3">
        <v>0</v>
      </c>
      <c r="I12" s="5">
        <v>0</v>
      </c>
      <c r="J12" s="3">
        <v>12</v>
      </c>
      <c r="K12" s="5">
        <v>0.42857142857142855</v>
      </c>
      <c r="L12" s="3">
        <v>7</v>
      </c>
      <c r="M12" s="5">
        <v>0.25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A919D4C4-BF31-426C-A778-5DE518CCFD19}">
  <ds:schemaRefs/>
</ds:datastoreItem>
</file>

<file path=customXml/itemProps2.xml><?xml version="1.0" encoding="utf-8"?>
<ds:datastoreItem xmlns:ds="http://schemas.openxmlformats.org/officeDocument/2006/customXml" ds:itemID="{3FB49BD6-B4C3-4D8C-9D04-02DB257B4D58}">
  <ds:schemaRefs/>
</ds:datastoreItem>
</file>

<file path=customXml/itemProps3.xml><?xml version="1.0" encoding="utf-8"?>
<ds:datastoreItem xmlns:ds="http://schemas.openxmlformats.org/officeDocument/2006/customXml" ds:itemID="{5F148B28-1600-4083-B99B-8723E2F6A63C}">
  <ds:schemaRefs/>
</ds:datastoreItem>
</file>

<file path=customXml/itemProps4.xml><?xml version="1.0" encoding="utf-8"?>
<ds:datastoreItem xmlns:ds="http://schemas.openxmlformats.org/officeDocument/2006/customXml" ds:itemID="{2DC85D45-858F-4C96-B686-86F478606693}">
  <ds:schemaRefs/>
</ds:datastoreItem>
</file>

<file path=customXml/itemProps5.xml><?xml version="1.0" encoding="utf-8"?>
<ds:datastoreItem xmlns:ds="http://schemas.openxmlformats.org/officeDocument/2006/customXml" ds:itemID="{D51536F0-44BB-490B-9D23-1C12195FDFF3}">
  <ds:schemaRefs/>
</ds:datastoreItem>
</file>

<file path=customXml/itemProps6.xml><?xml version="1.0" encoding="utf-8"?>
<ds:datastoreItem xmlns:ds="http://schemas.openxmlformats.org/officeDocument/2006/customXml" ds:itemID="{661142ED-DB64-42B7-9A16-EB7A7DB3FBD2}">
  <ds:schemaRefs/>
</ds:datastoreItem>
</file>

<file path=customXml/itemProps7.xml><?xml version="1.0" encoding="utf-8"?>
<ds:datastoreItem xmlns:ds="http://schemas.openxmlformats.org/officeDocument/2006/customXml" ds:itemID="{9019E810-AB4B-4A6B-80D6-EB536D3ABFFE}">
  <ds:schemaRefs/>
</ds:datastoreItem>
</file>

<file path=customXml/itemProps8.xml><?xml version="1.0" encoding="utf-8"?>
<ds:datastoreItem xmlns:ds="http://schemas.openxmlformats.org/officeDocument/2006/customXml" ds:itemID="{94D13717-0759-45AC-8801-95575700C73F}">
  <ds:schemaRefs/>
</ds:datastoreItem>
</file>

<file path=customXml/itemProps9.xml><?xml version="1.0" encoding="utf-8"?>
<ds:datastoreItem xmlns:ds="http://schemas.openxmlformats.org/officeDocument/2006/customXml" ds:itemID="{73789F01-B5A0-4333-B669-5C9654FB0462}">
  <ds:schemaRefs/>
</ds:datastoreItem>
</file>

<file path=customXml/itemProps10.xml><?xml version="1.0" encoding="utf-8"?>
<ds:datastoreItem xmlns:ds="http://schemas.openxmlformats.org/officeDocument/2006/customXml" ds:itemID="{54D65D5E-69F7-481C-8C49-E1A8B0D73FAB}">
  <ds:schemaRefs/>
</ds:datastoreItem>
</file>

<file path=customXml/itemProps11.xml><?xml version="1.0" encoding="utf-8"?>
<ds:datastoreItem xmlns:ds="http://schemas.openxmlformats.org/officeDocument/2006/customXml" ds:itemID="{41FB6847-437A-4431-B10C-6007060C2933}">
  <ds:schemaRefs/>
</ds:datastoreItem>
</file>

<file path=customXml/itemProps12.xml><?xml version="1.0" encoding="utf-8"?>
<ds:datastoreItem xmlns:ds="http://schemas.openxmlformats.org/officeDocument/2006/customXml" ds:itemID="{4B054791-7CFC-4188-9C0B-7CBE5AB3F20B}">
  <ds:schemaRefs/>
</ds:datastoreItem>
</file>

<file path=customXml/itemProps13.xml><?xml version="1.0" encoding="utf-8"?>
<ds:datastoreItem xmlns:ds="http://schemas.openxmlformats.org/officeDocument/2006/customXml" ds:itemID="{7F0C632A-A3EB-4F49-A479-E35D54DF579A}">
  <ds:schemaRefs/>
</ds:datastoreItem>
</file>

<file path=customXml/itemProps14.xml><?xml version="1.0" encoding="utf-8"?>
<ds:datastoreItem xmlns:ds="http://schemas.openxmlformats.org/officeDocument/2006/customXml" ds:itemID="{0FCBF902-E8DB-4B51-8DEF-37342E5CA4A2}">
  <ds:schemaRefs/>
</ds:datastoreItem>
</file>

<file path=customXml/itemProps15.xml><?xml version="1.0" encoding="utf-8"?>
<ds:datastoreItem xmlns:ds="http://schemas.openxmlformats.org/officeDocument/2006/customXml" ds:itemID="{0BEE6231-43EC-4E6A-8290-D54425E362DE}">
  <ds:schemaRefs>
    <ds:schemaRef ds:uri="http://schemas.microsoft.com/DataMashup"/>
  </ds:schemaRefs>
</ds:datastoreItem>
</file>

<file path=customXml/itemProps16.xml><?xml version="1.0" encoding="utf-8"?>
<ds:datastoreItem xmlns:ds="http://schemas.openxmlformats.org/officeDocument/2006/customXml" ds:itemID="{0EB0E570-1FF0-424E-A231-A0D3212985A0}">
  <ds:schemaRefs/>
</ds:datastoreItem>
</file>

<file path=customXml/itemProps17.xml><?xml version="1.0" encoding="utf-8"?>
<ds:datastoreItem xmlns:ds="http://schemas.openxmlformats.org/officeDocument/2006/customXml" ds:itemID="{5251371B-6D57-4ECB-9AC3-18DD62027211}">
  <ds:schemaRefs/>
</ds:datastoreItem>
</file>

<file path=customXml/itemProps18.xml><?xml version="1.0" encoding="utf-8"?>
<ds:datastoreItem xmlns:ds="http://schemas.openxmlformats.org/officeDocument/2006/customXml" ds:itemID="{600C2F02-DF69-4097-9FF0-658317B8DF19}">
  <ds:schemaRefs/>
</ds:datastoreItem>
</file>

<file path=customXml/itemProps19.xml><?xml version="1.0" encoding="utf-8"?>
<ds:datastoreItem xmlns:ds="http://schemas.openxmlformats.org/officeDocument/2006/customXml" ds:itemID="{7CA2C73F-8298-4581-97CE-1503FCD0B400}">
  <ds:schemaRefs/>
</ds:datastoreItem>
</file>

<file path=customXml/itemProps20.xml><?xml version="1.0" encoding="utf-8"?>
<ds:datastoreItem xmlns:ds="http://schemas.openxmlformats.org/officeDocument/2006/customXml" ds:itemID="{4B6B901B-7C4D-4157-87BB-3580B388B161}">
  <ds:schemaRefs/>
</ds:datastoreItem>
</file>

<file path=customXml/itemProps21.xml><?xml version="1.0" encoding="utf-8"?>
<ds:datastoreItem xmlns:ds="http://schemas.openxmlformats.org/officeDocument/2006/customXml" ds:itemID="{0F064BB9-8163-46F4-84BD-28997D045226}">
  <ds:schemaRefs/>
</ds:datastoreItem>
</file>

<file path=customXml/itemProps22.xml><?xml version="1.0" encoding="utf-8"?>
<ds:datastoreItem xmlns:ds="http://schemas.openxmlformats.org/officeDocument/2006/customXml" ds:itemID="{D051FB08-5DF3-43E4-A679-81531206877F}">
  <ds:schemaRefs/>
</ds:datastoreItem>
</file>

<file path=customXml/itemProps23.xml><?xml version="1.0" encoding="utf-8"?>
<ds:datastoreItem xmlns:ds="http://schemas.openxmlformats.org/officeDocument/2006/customXml" ds:itemID="{996C25E2-AFA1-4401-AEEA-59EB0DE9EB69}">
  <ds:schemaRefs/>
</ds:datastoreItem>
</file>

<file path=customXml/itemProps24.xml><?xml version="1.0" encoding="utf-8"?>
<ds:datastoreItem xmlns:ds="http://schemas.openxmlformats.org/officeDocument/2006/customXml" ds:itemID="{DD362E4F-C19F-4336-972D-8FC173828F9B}">
  <ds:schemaRefs/>
</ds:datastoreItem>
</file>

<file path=customXml/itemProps25.xml><?xml version="1.0" encoding="utf-8"?>
<ds:datastoreItem xmlns:ds="http://schemas.openxmlformats.org/officeDocument/2006/customXml" ds:itemID="{9EF8A92B-5258-4794-B9F8-A91AB8CFE997}">
  <ds:schemaRefs/>
</ds:datastoreItem>
</file>

<file path=customXml/itemProps26.xml><?xml version="1.0" encoding="utf-8"?>
<ds:datastoreItem xmlns:ds="http://schemas.openxmlformats.org/officeDocument/2006/customXml" ds:itemID="{0BDBE7A3-5466-422D-813A-F262EA1DE556}">
  <ds:schemaRefs/>
</ds:datastoreItem>
</file>

<file path=customXml/itemProps27.xml><?xml version="1.0" encoding="utf-8"?>
<ds:datastoreItem xmlns:ds="http://schemas.openxmlformats.org/officeDocument/2006/customXml" ds:itemID="{D761458A-2ACE-4DFA-8FEA-ABAEF6F280E9}">
  <ds:schemaRefs/>
</ds:datastoreItem>
</file>

<file path=customXml/itemProps28.xml><?xml version="1.0" encoding="utf-8"?>
<ds:datastoreItem xmlns:ds="http://schemas.openxmlformats.org/officeDocument/2006/customXml" ds:itemID="{FB34FF24-1461-4F6A-9B1F-1C924219842B}">
  <ds:schemaRefs/>
</ds:datastoreItem>
</file>

<file path=customXml/itemProps29.xml><?xml version="1.0" encoding="utf-8"?>
<ds:datastoreItem xmlns:ds="http://schemas.openxmlformats.org/officeDocument/2006/customXml" ds:itemID="{5319AAD2-41B5-4750-8FC3-B2078464C7D6}">
  <ds:schemaRefs/>
</ds:datastoreItem>
</file>

<file path=customXml/itemProps30.xml><?xml version="1.0" encoding="utf-8"?>
<ds:datastoreItem xmlns:ds="http://schemas.openxmlformats.org/officeDocument/2006/customXml" ds:itemID="{56235945-82D0-47A3-B2FA-EAF67933D649}">
  <ds:schemaRefs/>
</ds:datastoreItem>
</file>

<file path=customXml/itemProps31.xml><?xml version="1.0" encoding="utf-8"?>
<ds:datastoreItem xmlns:ds="http://schemas.openxmlformats.org/officeDocument/2006/customXml" ds:itemID="{52DE2624-5708-48E2-B483-5E0EF305C885}">
  <ds:schemaRefs/>
</ds:datastoreItem>
</file>

<file path=customXml/itemProps32.xml><?xml version="1.0" encoding="utf-8"?>
<ds:datastoreItem xmlns:ds="http://schemas.openxmlformats.org/officeDocument/2006/customXml" ds:itemID="{3EED16D1-6042-4135-B8E4-1473229B77BF}">
  <ds:schemaRefs/>
</ds:datastoreItem>
</file>

<file path=customXml/itemProps33.xml><?xml version="1.0" encoding="utf-8"?>
<ds:datastoreItem xmlns:ds="http://schemas.openxmlformats.org/officeDocument/2006/customXml" ds:itemID="{0B6E841C-BF3C-4D97-A24D-6F6423EB104D}">
  <ds:schemaRefs/>
</ds:datastoreItem>
</file>

<file path=customXml/itemProps34.xml><?xml version="1.0" encoding="utf-8"?>
<ds:datastoreItem xmlns:ds="http://schemas.openxmlformats.org/officeDocument/2006/customXml" ds:itemID="{88E9AAC8-ED14-4371-B448-117F75D2F11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Overview</vt:lpstr>
      <vt:lpstr>Sample</vt:lpstr>
      <vt:lpstr>Main measures</vt:lpstr>
      <vt:lpstr>Charts</vt:lpstr>
      <vt:lpstr>Patient results</vt:lpstr>
      <vt:lpstr>Patient Checker</vt:lpstr>
      <vt:lpstr>dim_reference_intervals</vt:lpstr>
      <vt:lpstr>dim_patients</vt:lpstr>
      <vt:lpstr>Cholesterol</vt:lpstr>
      <vt:lpstr>Charts!Print_Area</vt:lpstr>
      <vt:lpstr>Overview!Print_Area</vt:lpstr>
      <vt:lpstr>'Patient Checker'!Print_Area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Roncero</dc:creator>
  <cp:lastModifiedBy>Kristian Roncero</cp:lastModifiedBy>
  <cp:lastPrinted>2026-10-16T19:56:34Z</cp:lastPrinted>
  <dcterms:created xsi:type="dcterms:W3CDTF">2026-09-11T09:07:10Z</dcterms:created>
  <dcterms:modified xsi:type="dcterms:W3CDTF">2026-10-16T20:09:13Z</dcterms:modified>
</cp:coreProperties>
</file>